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pi.box.com/wopi/files/2254393340660/WOPIServiceId_TP_BOX_2/WOPIUserId_-/"/>
    </mc:Choice>
  </mc:AlternateContent>
  <xr:revisionPtr revIDLastSave="0" documentId="8_{B3D91661-DD47-4E40-8C5B-0BC74F5FEC1E}" xr6:coauthVersionLast="47" xr6:coauthVersionMax="47" xr10:uidLastSave="{00000000-0000-0000-0000-000000000000}"/>
  <bookViews>
    <workbookView xWindow="-96" yWindow="-96" windowWidth="20928" windowHeight="12432" activeTab="4" xr2:uid="{00000000-000D-0000-FFFF-FFFF00000000}"/>
  </bookViews>
  <sheets>
    <sheet name="Summary" sheetId="1" r:id="rId1"/>
    <sheet name="Change Log" sheetId="2" r:id="rId2"/>
    <sheet name="Signal Sweeps" sheetId="3" r:id="rId3"/>
    <sheet name="Measurement Sweeps" sheetId="4" r:id="rId4"/>
    <sheet name="Cross Asset Tests" sheetId="5" r:id="rId5"/>
    <sheet name="ETF r Comparison" sheetId="6" r:id="rId6"/>
    <sheet name="Function Refactor" sheetId="7" r:id="rId7"/>
  </sheets>
  <calcPr calcId="0"/>
</workbook>
</file>

<file path=xl/sharedStrings.xml><?xml version="1.0" encoding="utf-8"?>
<sst xmlns="http://schemas.openxmlformats.org/spreadsheetml/2006/main" count="544" uniqueCount="387">
  <si>
    <t>Kalman Filter Investment Research Project — Updated Log</t>
  </si>
  <si>
    <t>Field</t>
  </si>
  <si>
    <t>Current Value / Decision</t>
  </si>
  <si>
    <t>Last updated</t>
  </si>
  <si>
    <t>2026-05-30</t>
  </si>
  <si>
    <t>Verified SPY data range</t>
  </si>
  <si>
    <t>2015-01-01 through 2026-05-29</t>
  </si>
  <si>
    <t>Current project stage</t>
  </si>
  <si>
    <t>Tuning paused; moving to reusable code, batch testing, and validation</t>
  </si>
  <si>
    <t>Current shared ETF baseline</t>
  </si>
  <si>
    <t>q_jerk=1e-7, r_meas=5e-4, buySignal=trend_est&gt;0, sellSignal=trend_high&lt;0, buyConfirmDays=5, sellConfirmDays=8</t>
  </si>
  <si>
    <t>Transaction cost</t>
  </si>
  <si>
    <t>0.001 per trade</t>
  </si>
  <si>
    <t>Best SPY in-sample result</t>
  </si>
  <si>
    <t>432.29% return, -24.07% max DD, Sharpe 1.03, 13 trades, 96.65% time in market</t>
  </si>
  <si>
    <t>ETF setting conclusion</t>
  </si>
  <si>
    <t>Shared ETF candidate remains r_meas=5e-4; QQQ-specific alternative may be r_meas=7.5e-4</t>
  </si>
  <si>
    <t>Single-stock conclusion</t>
  </si>
  <si>
    <t>Current ETF-tuned settings do not transfer cleanly to MSFT/NVDA; later stock branch should use separate/adaptive logic</t>
  </si>
  <si>
    <t>Latest code architecture</t>
  </si>
  <si>
    <t>Converted step1.m into reusable runKalmanTrendModel(filename, params)</t>
  </si>
  <si>
    <t>Default function flags</t>
  </si>
  <si>
    <t>params.makePlots=true and params.printSummary=true; set both false for quiet batch runs</t>
  </si>
  <si>
    <t>Next recommended step</t>
  </si>
  <si>
    <t>Create runBatchKalmanTests.m, reproduce known results, then move to walk-forward validation</t>
  </si>
  <si>
    <t>Detailed Change Log</t>
  </si>
  <si>
    <t>Every significant code/model/test change tracked so future exports remain reproducible.</t>
  </si>
  <si>
    <t>ID</t>
  </si>
  <si>
    <t>File</t>
  </si>
  <si>
    <t>Section / Area</t>
  </si>
  <si>
    <t>Old Behavior</t>
  </si>
  <si>
    <t>New Behavior / Change</t>
  </si>
  <si>
    <t>Reason</t>
  </si>
  <si>
    <t>Result / Status</t>
  </si>
  <si>
    <t>001</t>
  </si>
  <si>
    <t>step1.m</t>
  </si>
  <si>
    <t>Plot 4 legend</t>
  </si>
  <si>
    <t>legend("Price","Position","Location","best")</t>
  </si>
  <si>
    <t>Handle-based legend: legend([hPrice,hPosition],{Price,Position},Location,best)</t>
  </si>
  <si>
    <t>MATLAB interpreted Position as a legend property name</t>
  </si>
  <si>
    <t>Fixed legend error</t>
  </si>
  <si>
    <t>002</t>
  </si>
  <si>
    <t>Signal logic</t>
  </si>
  <si>
    <t>Immediate switching on trend confidence crossings</t>
  </si>
  <si>
    <t>Added confirmation-day logic</t>
  </si>
  <si>
    <t>Reduce rapid position flipping</t>
  </si>
  <si>
    <t>Cleaner signal</t>
  </si>
  <si>
    <t>003</t>
  </si>
  <si>
    <t>Signal diagnostics</t>
  </si>
  <si>
    <t>No quick trade diagnostics</t>
  </si>
  <si>
    <t>Added tradeCount and timeInMarket outputs</t>
  </si>
  <si>
    <t>Quantify signal activity</t>
  </si>
  <si>
    <t>Used throughout tuning</t>
  </si>
  <si>
    <t>004</t>
  </si>
  <si>
    <t>Tuning parameters</t>
  </si>
  <si>
    <t>q_jerk=1e-7 only</t>
  </si>
  <si>
    <t>Tested lower q_jerk values</t>
  </si>
  <si>
    <t>Check whether smoother process noise reduces trades</t>
  </si>
  <si>
    <t>Lower q_jerk increased trade count; reverted to 1e-7</t>
  </si>
  <si>
    <t>005</t>
  </si>
  <si>
    <t>5 confirmation days baseline</t>
  </si>
  <si>
    <t>Tested confirmDays=10</t>
  </si>
  <si>
    <t>Reduce overtrading</t>
  </si>
  <si>
    <t>Trades dropped to 9; time in market 65.41%</t>
  </si>
  <si>
    <t>006</t>
  </si>
  <si>
    <t>Tested confirmDays=15</t>
  </si>
  <si>
    <t>Check conservative limit</t>
  </si>
  <si>
    <t>Only 1 trade; too restrictive</t>
  </si>
  <si>
    <t>007</t>
  </si>
  <si>
    <t>Signal diagnostics/results</t>
  </si>
  <si>
    <t>Only total trade count</t>
  </si>
  <si>
    <t>Added action labels: Buy, Sell, Hold Long, Hold Cash</t>
  </si>
  <si>
    <t>Separate buy/sell actions</t>
  </si>
  <si>
    <t>Improved interpretability</t>
  </si>
  <si>
    <t>008</t>
  </si>
  <si>
    <t>Symmetric buy/sell confirmation</t>
  </si>
  <si>
    <t>Proposed asymmetric rules</t>
  </si>
  <si>
    <t>Address lag and early exits</t>
  </si>
  <si>
    <t>Led to later signal tests</t>
  </si>
  <si>
    <t>009</t>
  </si>
  <si>
    <t>Backtest diagnostics</t>
  </si>
  <si>
    <t>No strategy performance metrics</t>
  </si>
  <si>
    <t>Added total return, max drawdown, Sharpe, transaction costs</t>
  </si>
  <si>
    <t>Tune by metrics, not plots only</t>
  </si>
  <si>
    <t>Backtest metrics became standard</t>
  </si>
  <si>
    <t>010</t>
  </si>
  <si>
    <t>Plots</t>
  </si>
  <si>
    <t>Price confidence plot had been replaced</t>
  </si>
  <si>
    <t>Restored price estimate with 90% CI as Plot 1</t>
  </si>
  <si>
    <t>Keep both CI plot and buy/sell marker plot</t>
  </si>
  <si>
    <t>Six-plot structure restored</t>
  </si>
  <si>
    <t>011</t>
  </si>
  <si>
    <t>Sell signal</t>
  </si>
  <si>
    <t>sellSignal = trend_est &lt; 0</t>
  </si>
  <si>
    <t>Tested buffered sell rule using sellBuffer</t>
  </si>
  <si>
    <t>Avoid selling on tiny trend noise</t>
  </si>
  <si>
    <t>Still too little time in market</t>
  </si>
  <si>
    <t>012</t>
  </si>
  <si>
    <t>Signal loop</t>
  </si>
  <si>
    <t>Buy/sell counters always active</t>
  </si>
  <si>
    <t>Made loop position-aware</t>
  </si>
  <si>
    <t>Only count buys while in cash and sells while long</t>
  </si>
  <si>
    <t>Cleaner logic</t>
  </si>
  <si>
    <t>013</t>
  </si>
  <si>
    <t>Sell buffer test</t>
  </si>
  <si>
    <t>No buffer</t>
  </si>
  <si>
    <t>sellBuffer=-0.00025</t>
  </si>
  <si>
    <t>Test sell patience</t>
  </si>
  <si>
    <t>Return 13.44%, Sharpe 0.34, time 3.66%</t>
  </si>
  <si>
    <t>014</t>
  </si>
  <si>
    <t>sellBuffer=-0.0005</t>
  </si>
  <si>
    <t>Return 26.39%, Sharpe 0.57, time 5.23%</t>
  </si>
  <si>
    <t>015</t>
  </si>
  <si>
    <t>sellBuffer=-0.001</t>
  </si>
  <si>
    <t>Return 26.85%, Sharpe 0.58, time 5.26%</t>
  </si>
  <si>
    <t>016</t>
  </si>
  <si>
    <t>sellSignal = trend_est &lt; buffer</t>
  </si>
  <si>
    <t>sellSignal = trend_high &lt; 0</t>
  </si>
  <si>
    <t>Sell only when trend CI is fully negative</t>
  </si>
  <si>
    <t>Improved exposure and performance</t>
  </si>
  <si>
    <t>017</t>
  </si>
  <si>
    <t>Signal result</t>
  </si>
  <si>
    <t>Buffered sell rules</t>
  </si>
  <si>
    <t>Confidence-based sell rule</t>
  </si>
  <si>
    <t>Reduce premature sells</t>
  </si>
  <si>
    <t>Return 67.76%, Sharpe 0.78, time 23.88%</t>
  </si>
  <si>
    <t>018</t>
  </si>
  <si>
    <t>Comments</t>
  </si>
  <si>
    <t>Comment referenced negative sell buffer</t>
  </si>
  <si>
    <t>Updated comment to CI-based sell rule</t>
  </si>
  <si>
    <t>Keep code comments accurate</t>
  </si>
  <si>
    <t>Cleanup</t>
  </si>
  <si>
    <t>019</t>
  </si>
  <si>
    <t>Buy signal</t>
  </si>
  <si>
    <t>buySignal = trend_low &gt; 0</t>
  </si>
  <si>
    <t>Proposed buySignal = trend_est &gt; 0</t>
  </si>
  <si>
    <t>Current buy rule too strict</t>
  </si>
  <si>
    <t>Moved to more realistic market exposure</t>
  </si>
  <si>
    <t>020</t>
  </si>
  <si>
    <t>trend_low &gt; 0</t>
  </si>
  <si>
    <t>trend_est &gt; 0</t>
  </si>
  <si>
    <t>Relax buy rule</t>
  </si>
  <si>
    <t>Market participation increased</t>
  </si>
  <si>
    <t>021</t>
  </si>
  <si>
    <t>Buy confirm sweep</t>
  </si>
  <si>
    <t>buyConfirmDays=10/15</t>
  </si>
  <si>
    <t>Tested buyConfirmDays=5</t>
  </si>
  <si>
    <t>Find better buy responsiveness</t>
  </si>
  <si>
    <t>Best return among buy tests: 299.58%, Sharpe 0.95</t>
  </si>
  <si>
    <t>022</t>
  </si>
  <si>
    <t>buyConfirmDays=5</t>
  </si>
  <si>
    <t>Tested buyConfirmDays=10</t>
  </si>
  <si>
    <t>Compare responsiveness</t>
  </si>
  <si>
    <t>Return 180.12%, Sharpe 0.81</t>
  </si>
  <si>
    <t>023</t>
  </si>
  <si>
    <t>Tested buyConfirmDays=15</t>
  </si>
  <si>
    <t>Defensive alternative</t>
  </si>
  <si>
    <t>Return 145.11%, Sharpe 0.86, lower DD</t>
  </si>
  <si>
    <t>024</t>
  </si>
  <si>
    <t>Only strategy max DD/Sharpe</t>
  </si>
  <si>
    <t>Added buy-hold max DD and buy-hold Sharpe</t>
  </si>
  <si>
    <t>Fair benchmark comparison</t>
  </si>
  <si>
    <t>Used in later runs</t>
  </si>
  <si>
    <t>025</t>
  </si>
  <si>
    <t>Sell confirm sweep</t>
  </si>
  <si>
    <t>sellConfirmDays=5 baseline</t>
  </si>
  <si>
    <t>Started sellConfirmDays sweep 5-10</t>
  </si>
  <si>
    <t>Early sells still observed</t>
  </si>
  <si>
    <t>Identified 7-8 day sweet spot</t>
  </si>
  <si>
    <t>026</t>
  </si>
  <si>
    <t>sCD=5 baseline</t>
  </si>
  <si>
    <t>Tested sCD=6</t>
  </si>
  <si>
    <t>Check sell patience</t>
  </si>
  <si>
    <t>Return 326.88%, Sharpe 0.95</t>
  </si>
  <si>
    <t>027</t>
  </si>
  <si>
    <t>sCD=6</t>
  </si>
  <si>
    <t>Tested sCD=7</t>
  </si>
  <si>
    <t>Return 388.19%, Sharpe 1.01, best DD -22.54%</t>
  </si>
  <si>
    <t>028</t>
  </si>
  <si>
    <t>sCD=7</t>
  </si>
  <si>
    <t>Tested sCD=8</t>
  </si>
  <si>
    <t>Best current SPY in-sample return 417.99%, Sharpe 1.03</t>
  </si>
  <si>
    <t>029</t>
  </si>
  <si>
    <t>sCD=8</t>
  </si>
  <si>
    <t>Tested sCD=9</t>
  </si>
  <si>
    <t>Check sell patience limit</t>
  </si>
  <si>
    <t>Performance fell; DD worsened to -32.24%</t>
  </si>
  <si>
    <t>030</t>
  </si>
  <si>
    <t>sCD=9</t>
  </si>
  <si>
    <t>Tested sCD=10</t>
  </si>
  <si>
    <t>Check buy-hold-like behavior</t>
  </si>
  <si>
    <t>Too slow to exit; DD -35.17%</t>
  </si>
  <si>
    <t>031</t>
  </si>
  <si>
    <t>Measurement tuning</t>
  </si>
  <si>
    <t>r_meas=1e-4 baseline</t>
  </si>
  <si>
    <t>Tested r_meas=5e-5</t>
  </si>
  <si>
    <t>Check lower measurement noise</t>
  </si>
  <si>
    <t>Too reactive: return 286.32%, Sharpe 0.82</t>
  </si>
  <si>
    <t>032</t>
  </si>
  <si>
    <t>Confirmed r_meas=1e-4</t>
  </si>
  <si>
    <t>Baseline measurement noise</t>
  </si>
  <si>
    <t>Return 417.99%, Sharpe 1.03</t>
  </si>
  <si>
    <t>033</t>
  </si>
  <si>
    <t>Tested r_meas=5e-4</t>
  </si>
  <si>
    <t>Check higher measurement noise</t>
  </si>
  <si>
    <t>Best SPY candidate: 432.29%, Sharpe 1.03</t>
  </si>
  <si>
    <t>034</t>
  </si>
  <si>
    <t>r_meas=5e-4</t>
  </si>
  <si>
    <t>Tested r_meas=1e-3</t>
  </si>
  <si>
    <t>Too buy-and-hold-like: only 5 trades</t>
  </si>
  <si>
    <t>035</t>
  </si>
  <si>
    <t>Local r sweep</t>
  </si>
  <si>
    <t>Tested r_meas=2.5e-4</t>
  </si>
  <si>
    <t>Local robustness check</t>
  </si>
  <si>
    <t>Return 388.98%, Sharpe 0.97</t>
  </si>
  <si>
    <t>036</t>
  </si>
  <si>
    <t>Retested r_meas=5e-4</t>
  </si>
  <si>
    <t>Local benchmark</t>
  </si>
  <si>
    <t>Best local result</t>
  </si>
  <si>
    <t>037</t>
  </si>
  <si>
    <t>Tested r_meas=7.5e-4</t>
  </si>
  <si>
    <t>Close result but more buy-and-hold-like</t>
  </si>
  <si>
    <t>038</t>
  </si>
  <si>
    <t>Cross-asset validation</t>
  </si>
  <si>
    <t>Assumed r_meas=5e-4</t>
  </si>
  <si>
    <t>Discovered earlier cross-asset run used r_meas=7.5e-4</t>
  </si>
  <si>
    <t>Correct the record</t>
  </si>
  <si>
    <t>Earlier run relabeled as 7.5e-4 validation</t>
  </si>
  <si>
    <t>039</t>
  </si>
  <si>
    <t>No official 5e-4 cross-asset set</t>
  </si>
  <si>
    <t>Reran SPY/QQQ/SPYG/MSFT/NVDA at r_meas=5e-4</t>
  </si>
  <si>
    <t>Validate current SPY-best setting</t>
  </si>
  <si>
    <t>SPY/SPYG strong; QQQ mixed; MSFT/NVDA weak</t>
  </si>
  <si>
    <t>040</t>
  </si>
  <si>
    <t>ETF interpretation</t>
  </si>
  <si>
    <t>Results scattered across tests</t>
  </si>
  <si>
    <t>Added ETF-specific r_meas comparison summary for 5e-4 vs 7.5e-4</t>
  </si>
  <si>
    <t>Decide shared ETF setting</t>
  </si>
  <si>
    <t>5e-4 remains shared ETF candidate; QQQ may prefer 7.5e-4</t>
  </si>
  <si>
    <t>041</t>
  </si>
  <si>
    <t>Tuning plan</t>
  </si>
  <si>
    <t>Continue per-asset tuning</t>
  </si>
  <si>
    <t>Set tuning aside for now</t>
  </si>
  <si>
    <t>Avoid overfitting</t>
  </si>
  <si>
    <t>Move to reusable code and validation</t>
  </si>
  <si>
    <t>042</t>
  </si>
  <si>
    <t>runKalmanTrendModel.m</t>
  </si>
  <si>
    <t>Code architecture</t>
  </si>
  <si>
    <t>Single long script requiring manual filename/parameter edits</t>
  </si>
  <si>
    <t>Converted into function runKalmanTrendModel(filename, params)</t>
  </si>
  <si>
    <t>Reusable tests and future walk-forward validation</t>
  </si>
  <si>
    <t>Function created</t>
  </si>
  <si>
    <t>043</t>
  </si>
  <si>
    <t>Function inputs</t>
  </si>
  <si>
    <t>Filename hard-coded in script</t>
  </si>
  <si>
    <t>filename required; params optional</t>
  </si>
  <si>
    <t>Simple use now; tweakable later</t>
  </si>
  <si>
    <t>Supports defaults and overrides</t>
  </si>
  <si>
    <t>044</t>
  </si>
  <si>
    <t>Output controls</t>
  </si>
  <si>
    <t>Plots and prints always produced</t>
  </si>
  <si>
    <t>Added params.makePlots and params.printSummary flags</t>
  </si>
  <si>
    <t>Quiet batch operation</t>
  </si>
  <si>
    <t>Use false/false for batch tests</t>
  </si>
  <si>
    <t>045</t>
  </si>
  <si>
    <t>runBatchKalmanTests.m</t>
  </si>
  <si>
    <t>Next planned file</t>
  </si>
  <si>
    <t>Manual one-ticker runs</t>
  </si>
  <si>
    <t>Plan batch runner across tickers</t>
  </si>
  <si>
    <t>Reproduce results consistently and export summary</t>
  </si>
  <si>
    <t>Next step</t>
  </si>
  <si>
    <t>Signal Confirmation Sweeps</t>
  </si>
  <si>
    <t>SPY in-sample 2015-01-01 to 2026-05-29; q_jerk=1e-7, r_meas=1e-4 before measurement-noise sweep.</t>
  </si>
  <si>
    <t>sellConfirmDays</t>
  </si>
  <si>
    <t>Buy Count</t>
  </si>
  <si>
    <t>Sell Count</t>
  </si>
  <si>
    <t>Strategy Return %</t>
  </si>
  <si>
    <t>Buy-Hold Return %</t>
  </si>
  <si>
    <t>Strategy Max DD %</t>
  </si>
  <si>
    <t>Buy-Hold Max DD %</t>
  </si>
  <si>
    <t>Strategy Sharpe</t>
  </si>
  <si>
    <t>Buy-Hold Sharpe</t>
  </si>
  <si>
    <t>Trade Count</t>
  </si>
  <si>
    <t>Time in Market %</t>
  </si>
  <si>
    <t>Interpretation</t>
  </si>
  <si>
    <t>Baseline; sells too quickly</t>
  </si>
  <si>
    <t>Improved return, fewer trades</t>
  </si>
  <si>
    <t>Best drawdown</t>
  </si>
  <si>
    <t>Best return/Sharpe before r_meas tuning</t>
  </si>
  <si>
    <t>Too much time in market</t>
  </si>
  <si>
    <t>Too slow to exit</t>
  </si>
  <si>
    <t>Measurement Noise Sweeps</t>
  </si>
  <si>
    <t>SPY in-sample 2015-01-01 to 2026-05-29; q_jerk=1e-7, buySignal=trend_est&gt;0, sellSignal=trend_high&lt;0, buyConfirmDays=5, sellConfirmDays=8.</t>
  </si>
  <si>
    <t>r_meas</t>
  </si>
  <si>
    <t>5e-5</t>
  </si>
  <si>
    <t>Too reactive</t>
  </si>
  <si>
    <t>1e-4</t>
  </si>
  <si>
    <t>Strong baseline</t>
  </si>
  <si>
    <t>2.5e-4</t>
  </si>
  <si>
    <t>Decent, worse than 5e-4</t>
  </si>
  <si>
    <t>5e-4</t>
  </si>
  <si>
    <t>Current best SPY/shared ETF candidate</t>
  </si>
  <si>
    <t>7.5e-4</t>
  </si>
  <si>
    <t>Close, more buy-and-hold-like</t>
  </si>
  <si>
    <t>1e-3</t>
  </si>
  <si>
    <t>Too conservative</t>
  </si>
  <si>
    <t>Cross-Asset Test Results</t>
  </si>
  <si>
    <t>Includes official r_meas=5e-4 run and corrected earlier r_meas=7.5e-4 run.</t>
  </si>
  <si>
    <t>Run</t>
  </si>
  <si>
    <t>Ticker</t>
  </si>
  <si>
    <t>Verdict</t>
  </si>
  <si>
    <t>Official 5e-4</t>
  </si>
  <si>
    <t>SPY</t>
  </si>
  <si>
    <t>Strong</t>
  </si>
  <si>
    <t>QQQ</t>
  </si>
  <si>
    <t>Mixed: return lower, risk-adjusted better</t>
  </si>
  <si>
    <t>SPYG</t>
  </si>
  <si>
    <t>Very strong</t>
  </si>
  <si>
    <t>MSFT</t>
  </si>
  <si>
    <t>Weak</t>
  </si>
  <si>
    <t>NVDA</t>
  </si>
  <si>
    <t>Weak for upside</t>
  </si>
  <si>
    <t>Earlier 7.5e-4</t>
  </si>
  <si>
    <t>Strong but more buy-hold-like</t>
  </si>
  <si>
    <t>Mixed</t>
  </si>
  <si>
    <t>ETF-Specific r_meas Comparison</t>
  </si>
  <si>
    <t>Organized comparison of existing ETF results for r_meas=5e-4 vs 7.5e-4.</t>
  </si>
  <si>
    <t>ETF</t>
  </si>
  <si>
    <t>Preferred?</t>
  </si>
  <si>
    <t>Notes</t>
  </si>
  <si>
    <t>Yes</t>
  </si>
  <si>
    <t>Best SPY choice</t>
  </si>
  <si>
    <t>No</t>
  </si>
  <si>
    <t>Close, but weaker Sharpe/DD</t>
  </si>
  <si>
    <t>Risk-adjusted improvement but lower return</t>
  </si>
  <si>
    <t>Possible</t>
  </si>
  <si>
    <t>QQQ-specific alternative</t>
  </si>
  <si>
    <t>Best SPYG choice</t>
  </si>
  <si>
    <t>Worse return/DD/Sharpe</t>
  </si>
  <si>
    <t>Average</t>
  </si>
  <si>
    <t>Shared candidate</t>
  </si>
  <si>
    <t>Better average drawdown/Sharpe</t>
  </si>
  <si>
    <t>Alternative</t>
  </si>
  <si>
    <t>Slightly higher avg return but worse DD/Sharpe</t>
  </si>
  <si>
    <t>Function Refactor and Reusable Workflow</t>
  </si>
  <si>
    <t>Current reusable function architecture and next coding step.</t>
  </si>
  <si>
    <t>Feature</t>
  </si>
  <si>
    <t>Implementation</t>
  </si>
  <si>
    <t>Reason / Usage</t>
  </si>
  <si>
    <t>Function name</t>
  </si>
  <si>
    <t>runKalmanTrendModel(filename, params)</t>
  </si>
  <si>
    <t>Reusable model runner for one CSV/ticker</t>
  </si>
  <si>
    <t>Required input</t>
  </si>
  <si>
    <t>filename</t>
  </si>
  <si>
    <t>Simple current workflow: run one ticker by file</t>
  </si>
  <si>
    <t>Optional input</t>
  </si>
  <si>
    <t>params struct</t>
  </si>
  <si>
    <t>Allows parameter overrides without editing function source</t>
  </si>
  <si>
    <t>Default q_jerk</t>
  </si>
  <si>
    <t>1e-7</t>
  </si>
  <si>
    <t>Current baseline</t>
  </si>
  <si>
    <t>Default r_meas</t>
  </si>
  <si>
    <t>Current shared ETF candidate</t>
  </si>
  <si>
    <t>Default buy rule</t>
  </si>
  <si>
    <t>Semi-strict buy rule from tuning</t>
  </si>
  <si>
    <t>Default sell rule</t>
  </si>
  <si>
    <t>trend_high &lt; 0</t>
  </si>
  <si>
    <t>Default buyConfirmDays</t>
  </si>
  <si>
    <t>5</t>
  </si>
  <si>
    <t>Best current buy confirmation setting</t>
  </si>
  <si>
    <t>Default sellConfirmDays</t>
  </si>
  <si>
    <t>8</t>
  </si>
  <si>
    <t>Best current SPY in-sample sell confirmation setting</t>
  </si>
  <si>
    <t>Default transactionCost</t>
  </si>
  <si>
    <t>0.001</t>
  </si>
  <si>
    <t>0.1% per trade</t>
  </si>
  <si>
    <t>Plot flag</t>
  </si>
  <si>
    <t>params.makePlots</t>
  </si>
  <si>
    <t>Set false for quiet batch runs</t>
  </si>
  <si>
    <t>Print flag</t>
  </si>
  <si>
    <t>params.printSummary</t>
  </si>
  <si>
    <t>Set false to suppress Command Window summary</t>
  </si>
  <si>
    <t>Outputs</t>
  </si>
  <si>
    <t>results, summary, figs</t>
  </si>
  <si>
    <t>Full table, metrics struct, figure handles</t>
  </si>
  <si>
    <t>Next script</t>
  </si>
  <si>
    <t>Run multiple tickers and export comparison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</si>
</sst>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i/>
      <sz val="11"/>
      <color rgb="FF666666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2" borderId="0" xfId="0" applyFont="1" applyFill="1"/>
    <xf numFmtId="0" fontId="0" fillId="0" borderId="0" xfId="0"/>
    <xf numFmtId="0" fontId="1" fillId="2" borderId="0" xfId="0" applyFont="1" applyFill="1" applyAlignment="1">
      <alignment horizontal="left"/>
    </xf>
    <xf numFmtId="0" fontId="3" fillId="0" borderId="0" xfId="0" applyFont="1" applyAlignment="1">
      <alignment wrapText="1"/>
    </xf>
    <xf numFmtId="2" fontId="0" fillId="0" borderId="0" xfId="0" applyNumberFormat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mmaryTable" displayName="SummaryTable" ref="A3:B14">
  <tableColumns count="2">
    <tableColumn id="1" xr3:uid="{00000000-0010-0000-0000-000001000000}" name="Field"/>
    <tableColumn id="2" xr3:uid="{00000000-0010-0000-0000-000002000000}" name="Current Value / Decis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angeLogTable" displayName="ChangeLogTable" ref="A3:G48">
  <tableColumns count="7">
    <tableColumn id="1" xr3:uid="{00000000-0010-0000-0100-000001000000}" name="ID"/>
    <tableColumn id="2" xr3:uid="{00000000-0010-0000-0100-000002000000}" name="File"/>
    <tableColumn id="3" xr3:uid="{00000000-0010-0000-0100-000003000000}" name="Section / Area"/>
    <tableColumn id="4" xr3:uid="{00000000-0010-0000-0100-000004000000}" name="Old Behavior"/>
    <tableColumn id="5" xr3:uid="{00000000-0010-0000-0100-000005000000}" name="New Behavior / Change"/>
    <tableColumn id="6" xr3:uid="{00000000-0010-0000-0100-000006000000}" name="Reason"/>
    <tableColumn id="7" xr3:uid="{00000000-0010-0000-0100-000007000000}" name="Result / 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ignalSweepsTable" displayName="SignalSweepsTable" ref="A3:L9">
  <tableColumns count="12">
    <tableColumn id="1" xr3:uid="{00000000-0010-0000-0200-000001000000}" name="sellConfirmDays"/>
    <tableColumn id="2" xr3:uid="{00000000-0010-0000-0200-000002000000}" name="Buy Count"/>
    <tableColumn id="3" xr3:uid="{00000000-0010-0000-0200-000003000000}" name="Sell Count"/>
    <tableColumn id="4" xr3:uid="{00000000-0010-0000-0200-000004000000}" name="Strategy Return %"/>
    <tableColumn id="5" xr3:uid="{00000000-0010-0000-0200-000005000000}" name="Buy-Hold Return %"/>
    <tableColumn id="6" xr3:uid="{00000000-0010-0000-0200-000006000000}" name="Strategy Max DD %"/>
    <tableColumn id="7" xr3:uid="{00000000-0010-0000-0200-000007000000}" name="Buy-Hold Max DD %"/>
    <tableColumn id="8" xr3:uid="{00000000-0010-0000-0200-000008000000}" name="Strategy Sharpe"/>
    <tableColumn id="9" xr3:uid="{00000000-0010-0000-0200-000009000000}" name="Buy-Hold Sharpe"/>
    <tableColumn id="10" xr3:uid="{00000000-0010-0000-0200-00000A000000}" name="Trade Count"/>
    <tableColumn id="11" xr3:uid="{00000000-0010-0000-0200-00000B000000}" name="Time in Market %"/>
    <tableColumn id="12" xr3:uid="{00000000-0010-0000-0200-00000C000000}" name="Interpret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easurementSweepsTable" displayName="MeasurementSweepsTable" ref="A3:L9">
  <tableColumns count="12">
    <tableColumn id="1" xr3:uid="{00000000-0010-0000-0300-000001000000}" name="r_meas"/>
    <tableColumn id="2" xr3:uid="{00000000-0010-0000-0300-000002000000}" name="Buy Count"/>
    <tableColumn id="3" xr3:uid="{00000000-0010-0000-0300-000003000000}" name="Sell Count"/>
    <tableColumn id="4" xr3:uid="{00000000-0010-0000-0300-000004000000}" name="Strategy Return %"/>
    <tableColumn id="5" xr3:uid="{00000000-0010-0000-0300-000005000000}" name="Buy-Hold Return %"/>
    <tableColumn id="6" xr3:uid="{00000000-0010-0000-0300-000006000000}" name="Strategy Max DD %"/>
    <tableColumn id="7" xr3:uid="{00000000-0010-0000-0300-000007000000}" name="Buy-Hold Max DD %"/>
    <tableColumn id="8" xr3:uid="{00000000-0010-0000-0300-000008000000}" name="Strategy Sharpe"/>
    <tableColumn id="9" xr3:uid="{00000000-0010-0000-0300-000009000000}" name="Buy-Hold Sharpe"/>
    <tableColumn id="10" xr3:uid="{00000000-0010-0000-0300-00000A000000}" name="Trade Count"/>
    <tableColumn id="11" xr3:uid="{00000000-0010-0000-0300-00000B000000}" name="Time in Market %"/>
    <tableColumn id="12" xr3:uid="{00000000-0010-0000-0300-00000C000000}" name="Interpret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rossAssetTestsTable" displayName="CrossAssetTestsTable" ref="A3:N13">
  <tableColumns count="14">
    <tableColumn id="1" xr3:uid="{00000000-0010-0000-0400-000001000000}" name="Run"/>
    <tableColumn id="2" xr3:uid="{00000000-0010-0000-0400-000002000000}" name="Ticker"/>
    <tableColumn id="3" xr3:uid="{00000000-0010-0000-0400-000003000000}" name="r_meas"/>
    <tableColumn id="4" xr3:uid="{00000000-0010-0000-0400-000004000000}" name="Buy Count"/>
    <tableColumn id="5" xr3:uid="{00000000-0010-0000-0400-000005000000}" name="Sell Count"/>
    <tableColumn id="6" xr3:uid="{00000000-0010-0000-0400-000006000000}" name="Strategy Return %"/>
    <tableColumn id="7" xr3:uid="{00000000-0010-0000-0400-000007000000}" name="Buy-Hold Return %"/>
    <tableColumn id="8" xr3:uid="{00000000-0010-0000-0400-000008000000}" name="Strategy Max DD %"/>
    <tableColumn id="9" xr3:uid="{00000000-0010-0000-0400-000009000000}" name="Buy-Hold Max DD %"/>
    <tableColumn id="10" xr3:uid="{00000000-0010-0000-0400-00000A000000}" name="Strategy Sharpe"/>
    <tableColumn id="11" xr3:uid="{00000000-0010-0000-0400-00000B000000}" name="Buy-Hold Sharpe"/>
    <tableColumn id="12" xr3:uid="{00000000-0010-0000-0400-00000C000000}" name="Trade Count"/>
    <tableColumn id="13" xr3:uid="{00000000-0010-0000-0400-00000D000000}" name="Time in Market %"/>
    <tableColumn id="14" xr3:uid="{00000000-0010-0000-0400-00000E000000}" name="Verdic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TFrComparisonTable" displayName="ETFrComparisonTable" ref="A3:L11">
  <tableColumns count="12">
    <tableColumn id="1" xr3:uid="{00000000-0010-0000-0500-000001000000}" name="ETF"/>
    <tableColumn id="2" xr3:uid="{00000000-0010-0000-0500-000002000000}" name="r_meas"/>
    <tableColumn id="3" xr3:uid="{00000000-0010-0000-0500-000003000000}" name="Strategy Return %"/>
    <tableColumn id="4" xr3:uid="{00000000-0010-0000-0500-000004000000}" name="Buy-Hold Return %"/>
    <tableColumn id="5" xr3:uid="{00000000-0010-0000-0500-000005000000}" name="Strategy Max DD %"/>
    <tableColumn id="6" xr3:uid="{00000000-0010-0000-0500-000006000000}" name="Buy-Hold Max DD %"/>
    <tableColumn id="7" xr3:uid="{00000000-0010-0000-0500-000007000000}" name="Strategy Sharpe"/>
    <tableColumn id="8" xr3:uid="{00000000-0010-0000-0500-000008000000}" name="Buy-Hold Sharpe"/>
    <tableColumn id="9" xr3:uid="{00000000-0010-0000-0500-000009000000}" name="Trade Count"/>
    <tableColumn id="10" xr3:uid="{00000000-0010-0000-0500-00000A000000}" name="Time in Market %"/>
    <tableColumn id="11" xr3:uid="{00000000-0010-0000-0500-00000B000000}" name="Preferred?"/>
    <tableColumn id="12" xr3:uid="{00000000-0010-0000-0500-00000C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unctionRefactorTable" displayName="FunctionRefactorTable" ref="A3:C17">
  <tableColumns count="3">
    <tableColumn id="1" xr3:uid="{00000000-0010-0000-0600-000001000000}" name="Feature"/>
    <tableColumn id="2" xr3:uid="{00000000-0010-0000-0600-000002000000}" name="Implementation"/>
    <tableColumn id="3" xr3:uid="{00000000-0010-0000-0600-000003000000}" name="Reason / U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defaultRowHeight="13.8"/>
  <cols>
    <col min="1" max="1" width="30" customWidth="1"/>
    <col min="2" max="2" width="90" customWidth="1"/>
  </cols>
  <sheetData>
    <row r="1" spans="1:2" ht="20.100000000000001">
      <c r="A1" s="4" t="s">
        <v>0</v>
      </c>
      <c r="B1" s="5"/>
    </row>
    <row r="3" spans="1:2" ht="14.1">
      <c r="A3" s="1" t="s">
        <v>1</v>
      </c>
      <c r="B3" s="1" t="s">
        <v>2</v>
      </c>
    </row>
    <row r="4" spans="1:2">
      <c r="A4" s="2" t="s">
        <v>3</v>
      </c>
      <c r="B4" s="2" t="s">
        <v>4</v>
      </c>
    </row>
    <row r="5" spans="1:2">
      <c r="A5" s="2" t="s">
        <v>5</v>
      </c>
      <c r="B5" s="2" t="s">
        <v>6</v>
      </c>
    </row>
    <row r="6" spans="1:2">
      <c r="A6" s="2" t="s">
        <v>7</v>
      </c>
      <c r="B6" s="2" t="s">
        <v>8</v>
      </c>
    </row>
    <row r="7" spans="1:2" ht="27.6">
      <c r="A7" s="2" t="s">
        <v>9</v>
      </c>
      <c r="B7" s="2" t="s">
        <v>10</v>
      </c>
    </row>
    <row r="8" spans="1:2">
      <c r="A8" s="2" t="s">
        <v>11</v>
      </c>
      <c r="B8" s="2" t="s">
        <v>12</v>
      </c>
    </row>
    <row r="9" spans="1:2">
      <c r="A9" s="2" t="s">
        <v>13</v>
      </c>
      <c r="B9" s="2" t="s">
        <v>14</v>
      </c>
    </row>
    <row r="10" spans="1:2">
      <c r="A10" s="2" t="s">
        <v>15</v>
      </c>
      <c r="B10" s="2" t="s">
        <v>16</v>
      </c>
    </row>
    <row r="11" spans="1:2" ht="27.6">
      <c r="A11" s="2" t="s">
        <v>17</v>
      </c>
      <c r="B11" s="2" t="s">
        <v>18</v>
      </c>
    </row>
    <row r="12" spans="1:2">
      <c r="A12" s="2" t="s">
        <v>19</v>
      </c>
      <c r="B12" s="2" t="s">
        <v>20</v>
      </c>
    </row>
    <row r="13" spans="1:2">
      <c r="A13" s="2" t="s">
        <v>21</v>
      </c>
      <c r="B13" s="2" t="s">
        <v>22</v>
      </c>
    </row>
    <row r="14" spans="1:2">
      <c r="A14" s="2" t="s">
        <v>23</v>
      </c>
      <c r="B14" s="2" t="s">
        <v>24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"/>
  <sheetViews>
    <sheetView topLeftCell="D27" workbookViewId="0">
      <selection sqref="A1:G1"/>
    </sheetView>
  </sheetViews>
  <sheetFormatPr defaultRowHeight="13.8"/>
  <cols>
    <col min="1" max="1" width="8" customWidth="1"/>
    <col min="2" max="2" width="24" customWidth="1"/>
    <col min="3" max="3" width="28" customWidth="1"/>
    <col min="4" max="4" width="34" customWidth="1"/>
    <col min="5" max="5" width="42" customWidth="1"/>
    <col min="6" max="6" width="40" customWidth="1"/>
    <col min="7" max="7" width="36" customWidth="1"/>
  </cols>
  <sheetData>
    <row r="1" spans="1:7" ht="20.100000000000001">
      <c r="A1" s="6" t="s">
        <v>25</v>
      </c>
      <c r="B1" s="5"/>
      <c r="C1" s="5"/>
      <c r="D1" s="5"/>
      <c r="E1" s="5"/>
      <c r="F1" s="5"/>
      <c r="G1" s="5"/>
    </row>
    <row r="2" spans="1:7" ht="14.1">
      <c r="A2" s="7" t="s">
        <v>26</v>
      </c>
      <c r="B2" s="7"/>
      <c r="C2" s="7"/>
      <c r="D2" s="7"/>
      <c r="E2" s="7"/>
      <c r="F2" s="7"/>
      <c r="G2" s="7"/>
    </row>
    <row r="3" spans="1:7" ht="14.1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</row>
    <row r="4" spans="1:7" ht="41.4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</row>
    <row r="5" spans="1:7" ht="27.6">
      <c r="A5" s="2" t="s">
        <v>41</v>
      </c>
      <c r="B5" s="2" t="s">
        <v>35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</row>
    <row r="6" spans="1:7">
      <c r="A6" s="2" t="s">
        <v>47</v>
      </c>
      <c r="B6" s="2" t="s">
        <v>35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52</v>
      </c>
    </row>
    <row r="7" spans="1:7" ht="27.6">
      <c r="A7" s="2" t="s">
        <v>53</v>
      </c>
      <c r="B7" s="2" t="s">
        <v>35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58</v>
      </c>
    </row>
    <row r="8" spans="1:7">
      <c r="A8" s="2" t="s">
        <v>59</v>
      </c>
      <c r="B8" s="2" t="s">
        <v>35</v>
      </c>
      <c r="C8" s="2" t="s">
        <v>42</v>
      </c>
      <c r="D8" s="2" t="s">
        <v>60</v>
      </c>
      <c r="E8" s="2" t="s">
        <v>61</v>
      </c>
      <c r="F8" s="2" t="s">
        <v>62</v>
      </c>
      <c r="G8" s="2" t="s">
        <v>63</v>
      </c>
    </row>
    <row r="9" spans="1:7">
      <c r="A9" s="2" t="s">
        <v>64</v>
      </c>
      <c r="B9" s="2" t="s">
        <v>35</v>
      </c>
      <c r="C9" s="2" t="s">
        <v>42</v>
      </c>
      <c r="D9" s="2" t="s">
        <v>60</v>
      </c>
      <c r="E9" s="2" t="s">
        <v>65</v>
      </c>
      <c r="F9" s="2" t="s">
        <v>66</v>
      </c>
      <c r="G9" s="2" t="s">
        <v>67</v>
      </c>
    </row>
    <row r="10" spans="1:7" ht="27.6">
      <c r="A10" s="2" t="s">
        <v>68</v>
      </c>
      <c r="B10" s="2" t="s">
        <v>35</v>
      </c>
      <c r="C10" s="2" t="s">
        <v>69</v>
      </c>
      <c r="D10" s="2" t="s">
        <v>70</v>
      </c>
      <c r="E10" s="2" t="s">
        <v>71</v>
      </c>
      <c r="F10" s="2" t="s">
        <v>72</v>
      </c>
      <c r="G10" s="2" t="s">
        <v>73</v>
      </c>
    </row>
    <row r="11" spans="1:7">
      <c r="A11" s="2" t="s">
        <v>74</v>
      </c>
      <c r="B11" s="2" t="s">
        <v>35</v>
      </c>
      <c r="C11" s="2" t="s">
        <v>42</v>
      </c>
      <c r="D11" s="2" t="s">
        <v>75</v>
      </c>
      <c r="E11" s="2" t="s">
        <v>76</v>
      </c>
      <c r="F11" s="2" t="s">
        <v>77</v>
      </c>
      <c r="G11" s="2" t="s">
        <v>78</v>
      </c>
    </row>
    <row r="12" spans="1:7" ht="27.6">
      <c r="A12" s="2" t="s">
        <v>79</v>
      </c>
      <c r="B12" s="2" t="s">
        <v>35</v>
      </c>
      <c r="C12" s="2" t="s">
        <v>80</v>
      </c>
      <c r="D12" s="2" t="s">
        <v>81</v>
      </c>
      <c r="E12" s="2" t="s">
        <v>82</v>
      </c>
      <c r="F12" s="2" t="s">
        <v>83</v>
      </c>
      <c r="G12" s="2" t="s">
        <v>84</v>
      </c>
    </row>
    <row r="13" spans="1:7">
      <c r="A13" s="2" t="s">
        <v>85</v>
      </c>
      <c r="B13" s="2" t="s">
        <v>35</v>
      </c>
      <c r="C13" s="2" t="s">
        <v>86</v>
      </c>
      <c r="D13" s="2" t="s">
        <v>87</v>
      </c>
      <c r="E13" s="2" t="s">
        <v>88</v>
      </c>
      <c r="F13" s="2" t="s">
        <v>89</v>
      </c>
      <c r="G13" s="2" t="s">
        <v>90</v>
      </c>
    </row>
    <row r="14" spans="1:7">
      <c r="A14" s="2" t="s">
        <v>91</v>
      </c>
      <c r="B14" s="2" t="s">
        <v>35</v>
      </c>
      <c r="C14" s="2" t="s">
        <v>92</v>
      </c>
      <c r="D14" s="2" t="s">
        <v>93</v>
      </c>
      <c r="E14" s="2" t="s">
        <v>94</v>
      </c>
      <c r="F14" s="2" t="s">
        <v>95</v>
      </c>
      <c r="G14" s="2" t="s">
        <v>96</v>
      </c>
    </row>
    <row r="15" spans="1:7">
      <c r="A15" s="2" t="s">
        <v>97</v>
      </c>
      <c r="B15" s="2" t="s">
        <v>35</v>
      </c>
      <c r="C15" s="2" t="s">
        <v>98</v>
      </c>
      <c r="D15" s="2" t="s">
        <v>99</v>
      </c>
      <c r="E15" s="2" t="s">
        <v>100</v>
      </c>
      <c r="F15" s="2" t="s">
        <v>101</v>
      </c>
      <c r="G15" s="2" t="s">
        <v>102</v>
      </c>
    </row>
    <row r="16" spans="1:7">
      <c r="A16" s="2" t="s">
        <v>103</v>
      </c>
      <c r="B16" s="2" t="s">
        <v>35</v>
      </c>
      <c r="C16" s="2" t="s">
        <v>104</v>
      </c>
      <c r="D16" s="2" t="s">
        <v>105</v>
      </c>
      <c r="E16" s="2" t="s">
        <v>106</v>
      </c>
      <c r="F16" s="2" t="s">
        <v>107</v>
      </c>
      <c r="G16" s="2" t="s">
        <v>108</v>
      </c>
    </row>
    <row r="17" spans="1:7">
      <c r="A17" s="2" t="s">
        <v>109</v>
      </c>
      <c r="B17" s="2" t="s">
        <v>35</v>
      </c>
      <c r="C17" s="2" t="s">
        <v>104</v>
      </c>
      <c r="D17" s="2" t="s">
        <v>105</v>
      </c>
      <c r="E17" s="2" t="s">
        <v>110</v>
      </c>
      <c r="F17" s="2" t="s">
        <v>107</v>
      </c>
      <c r="G17" s="2" t="s">
        <v>111</v>
      </c>
    </row>
    <row r="18" spans="1:7">
      <c r="A18" s="2" t="s">
        <v>112</v>
      </c>
      <c r="B18" s="2" t="s">
        <v>35</v>
      </c>
      <c r="C18" s="2" t="s">
        <v>104</v>
      </c>
      <c r="D18" s="2" t="s">
        <v>105</v>
      </c>
      <c r="E18" s="2" t="s">
        <v>113</v>
      </c>
      <c r="F18" s="2" t="s">
        <v>107</v>
      </c>
      <c r="G18" s="2" t="s">
        <v>114</v>
      </c>
    </row>
    <row r="19" spans="1:7">
      <c r="A19" s="2" t="s">
        <v>115</v>
      </c>
      <c r="B19" s="2" t="s">
        <v>35</v>
      </c>
      <c r="C19" s="2" t="s">
        <v>92</v>
      </c>
      <c r="D19" s="2" t="s">
        <v>116</v>
      </c>
      <c r="E19" s="2" t="s">
        <v>117</v>
      </c>
      <c r="F19" s="2" t="s">
        <v>118</v>
      </c>
      <c r="G19" s="2" t="s">
        <v>119</v>
      </c>
    </row>
    <row r="20" spans="1:7">
      <c r="A20" s="2" t="s">
        <v>120</v>
      </c>
      <c r="B20" s="2" t="s">
        <v>35</v>
      </c>
      <c r="C20" s="2" t="s">
        <v>121</v>
      </c>
      <c r="D20" s="2" t="s">
        <v>122</v>
      </c>
      <c r="E20" s="2" t="s">
        <v>123</v>
      </c>
      <c r="F20" s="2" t="s">
        <v>124</v>
      </c>
      <c r="G20" s="2" t="s">
        <v>125</v>
      </c>
    </row>
    <row r="21" spans="1:7">
      <c r="A21" s="2" t="s">
        <v>126</v>
      </c>
      <c r="B21" s="2" t="s">
        <v>35</v>
      </c>
      <c r="C21" s="2" t="s">
        <v>127</v>
      </c>
      <c r="D21" s="2" t="s">
        <v>128</v>
      </c>
      <c r="E21" s="2" t="s">
        <v>129</v>
      </c>
      <c r="F21" s="2" t="s">
        <v>130</v>
      </c>
      <c r="G21" s="2" t="s">
        <v>131</v>
      </c>
    </row>
    <row r="22" spans="1:7">
      <c r="A22" s="2" t="s">
        <v>132</v>
      </c>
      <c r="B22" s="2" t="s">
        <v>35</v>
      </c>
      <c r="C22" s="2" t="s">
        <v>133</v>
      </c>
      <c r="D22" s="2" t="s">
        <v>134</v>
      </c>
      <c r="E22" s="2" t="s">
        <v>135</v>
      </c>
      <c r="F22" s="2" t="s">
        <v>136</v>
      </c>
      <c r="G22" s="2" t="s">
        <v>137</v>
      </c>
    </row>
    <row r="23" spans="1:7">
      <c r="A23" s="2" t="s">
        <v>138</v>
      </c>
      <c r="B23" s="2" t="s">
        <v>35</v>
      </c>
      <c r="C23" s="2" t="s">
        <v>133</v>
      </c>
      <c r="D23" s="2" t="s">
        <v>139</v>
      </c>
      <c r="E23" s="2" t="s">
        <v>140</v>
      </c>
      <c r="F23" s="2" t="s">
        <v>141</v>
      </c>
      <c r="G23" s="2" t="s">
        <v>142</v>
      </c>
    </row>
    <row r="24" spans="1:7" ht="27.6">
      <c r="A24" s="2" t="s">
        <v>143</v>
      </c>
      <c r="B24" s="2" t="s">
        <v>35</v>
      </c>
      <c r="C24" s="2" t="s">
        <v>144</v>
      </c>
      <c r="D24" s="2" t="s">
        <v>145</v>
      </c>
      <c r="E24" s="2" t="s">
        <v>146</v>
      </c>
      <c r="F24" s="2" t="s">
        <v>147</v>
      </c>
      <c r="G24" s="2" t="s">
        <v>148</v>
      </c>
    </row>
    <row r="25" spans="1:7">
      <c r="A25" s="2" t="s">
        <v>149</v>
      </c>
      <c r="B25" s="2" t="s">
        <v>35</v>
      </c>
      <c r="C25" s="2" t="s">
        <v>144</v>
      </c>
      <c r="D25" s="2" t="s">
        <v>150</v>
      </c>
      <c r="E25" s="2" t="s">
        <v>151</v>
      </c>
      <c r="F25" s="2" t="s">
        <v>152</v>
      </c>
      <c r="G25" s="2" t="s">
        <v>153</v>
      </c>
    </row>
    <row r="26" spans="1:7">
      <c r="A26" s="2" t="s">
        <v>154</v>
      </c>
      <c r="B26" s="2" t="s">
        <v>35</v>
      </c>
      <c r="C26" s="2" t="s">
        <v>144</v>
      </c>
      <c r="D26" s="2" t="s">
        <v>150</v>
      </c>
      <c r="E26" s="2" t="s">
        <v>155</v>
      </c>
      <c r="F26" s="2" t="s">
        <v>156</v>
      </c>
      <c r="G26" s="2" t="s">
        <v>157</v>
      </c>
    </row>
    <row r="27" spans="1:7">
      <c r="A27" s="2" t="s">
        <v>158</v>
      </c>
      <c r="B27" s="2" t="s">
        <v>35</v>
      </c>
      <c r="C27" s="2" t="s">
        <v>80</v>
      </c>
      <c r="D27" s="2" t="s">
        <v>159</v>
      </c>
      <c r="E27" s="2" t="s">
        <v>160</v>
      </c>
      <c r="F27" s="2" t="s">
        <v>161</v>
      </c>
      <c r="G27" s="2" t="s">
        <v>162</v>
      </c>
    </row>
    <row r="28" spans="1:7">
      <c r="A28" s="2" t="s">
        <v>163</v>
      </c>
      <c r="B28" s="2" t="s">
        <v>35</v>
      </c>
      <c r="C28" s="2" t="s">
        <v>164</v>
      </c>
      <c r="D28" s="2" t="s">
        <v>165</v>
      </c>
      <c r="E28" s="2" t="s">
        <v>166</v>
      </c>
      <c r="F28" s="2" t="s">
        <v>167</v>
      </c>
      <c r="G28" s="2" t="s">
        <v>168</v>
      </c>
    </row>
    <row r="29" spans="1:7">
      <c r="A29" s="2" t="s">
        <v>169</v>
      </c>
      <c r="B29" s="2" t="s">
        <v>35</v>
      </c>
      <c r="C29" s="2" t="s">
        <v>164</v>
      </c>
      <c r="D29" s="2" t="s">
        <v>170</v>
      </c>
      <c r="E29" s="2" t="s">
        <v>171</v>
      </c>
      <c r="F29" s="2" t="s">
        <v>172</v>
      </c>
      <c r="G29" s="2" t="s">
        <v>173</v>
      </c>
    </row>
    <row r="30" spans="1:7" ht="27.6">
      <c r="A30" s="2" t="s">
        <v>174</v>
      </c>
      <c r="B30" s="2" t="s">
        <v>35</v>
      </c>
      <c r="C30" s="2" t="s">
        <v>164</v>
      </c>
      <c r="D30" s="2" t="s">
        <v>175</v>
      </c>
      <c r="E30" s="2" t="s">
        <v>176</v>
      </c>
      <c r="F30" s="2" t="s">
        <v>172</v>
      </c>
      <c r="G30" s="2" t="s">
        <v>177</v>
      </c>
    </row>
    <row r="31" spans="1:7" ht="27.6">
      <c r="A31" s="2" t="s">
        <v>178</v>
      </c>
      <c r="B31" s="2" t="s">
        <v>35</v>
      </c>
      <c r="C31" s="2" t="s">
        <v>164</v>
      </c>
      <c r="D31" s="2" t="s">
        <v>179</v>
      </c>
      <c r="E31" s="2" t="s">
        <v>180</v>
      </c>
      <c r="F31" s="2" t="s">
        <v>172</v>
      </c>
      <c r="G31" s="2" t="s">
        <v>181</v>
      </c>
    </row>
    <row r="32" spans="1:7">
      <c r="A32" s="2" t="s">
        <v>182</v>
      </c>
      <c r="B32" s="2" t="s">
        <v>35</v>
      </c>
      <c r="C32" s="2" t="s">
        <v>164</v>
      </c>
      <c r="D32" s="2" t="s">
        <v>183</v>
      </c>
      <c r="E32" s="2" t="s">
        <v>184</v>
      </c>
      <c r="F32" s="2" t="s">
        <v>185</v>
      </c>
      <c r="G32" s="2" t="s">
        <v>186</v>
      </c>
    </row>
    <row r="33" spans="1:7">
      <c r="A33" s="2" t="s">
        <v>187</v>
      </c>
      <c r="B33" s="2" t="s">
        <v>35</v>
      </c>
      <c r="C33" s="2" t="s">
        <v>164</v>
      </c>
      <c r="D33" s="2" t="s">
        <v>188</v>
      </c>
      <c r="E33" s="2" t="s">
        <v>189</v>
      </c>
      <c r="F33" s="2" t="s">
        <v>190</v>
      </c>
      <c r="G33" s="2" t="s">
        <v>191</v>
      </c>
    </row>
    <row r="34" spans="1:7">
      <c r="A34" s="2" t="s">
        <v>192</v>
      </c>
      <c r="B34" s="2" t="s">
        <v>35</v>
      </c>
      <c r="C34" s="2" t="s">
        <v>193</v>
      </c>
      <c r="D34" s="2" t="s">
        <v>194</v>
      </c>
      <c r="E34" s="2" t="s">
        <v>195</v>
      </c>
      <c r="F34" s="2" t="s">
        <v>196</v>
      </c>
      <c r="G34" s="2" t="s">
        <v>197</v>
      </c>
    </row>
    <row r="35" spans="1:7">
      <c r="A35" s="2" t="s">
        <v>198</v>
      </c>
      <c r="B35" s="2" t="s">
        <v>35</v>
      </c>
      <c r="C35" s="2" t="s">
        <v>193</v>
      </c>
      <c r="D35" s="2" t="s">
        <v>194</v>
      </c>
      <c r="E35" s="2" t="s">
        <v>199</v>
      </c>
      <c r="F35" s="2" t="s">
        <v>200</v>
      </c>
      <c r="G35" s="2" t="s">
        <v>201</v>
      </c>
    </row>
    <row r="36" spans="1:7">
      <c r="A36" s="2" t="s">
        <v>202</v>
      </c>
      <c r="B36" s="2" t="s">
        <v>35</v>
      </c>
      <c r="C36" s="2" t="s">
        <v>193</v>
      </c>
      <c r="D36" s="2" t="s">
        <v>194</v>
      </c>
      <c r="E36" s="2" t="s">
        <v>203</v>
      </c>
      <c r="F36" s="2" t="s">
        <v>204</v>
      </c>
      <c r="G36" s="2" t="s">
        <v>205</v>
      </c>
    </row>
    <row r="37" spans="1:7">
      <c r="A37" s="2" t="s">
        <v>206</v>
      </c>
      <c r="B37" s="2" t="s">
        <v>35</v>
      </c>
      <c r="C37" s="2" t="s">
        <v>193</v>
      </c>
      <c r="D37" s="2" t="s">
        <v>207</v>
      </c>
      <c r="E37" s="2" t="s">
        <v>208</v>
      </c>
      <c r="F37" s="2" t="s">
        <v>66</v>
      </c>
      <c r="G37" s="2" t="s">
        <v>209</v>
      </c>
    </row>
    <row r="38" spans="1:7">
      <c r="A38" s="2" t="s">
        <v>210</v>
      </c>
      <c r="B38" s="2" t="s">
        <v>35</v>
      </c>
      <c r="C38" s="2" t="s">
        <v>211</v>
      </c>
      <c r="D38" s="2" t="s">
        <v>207</v>
      </c>
      <c r="E38" s="2" t="s">
        <v>212</v>
      </c>
      <c r="F38" s="2" t="s">
        <v>213</v>
      </c>
      <c r="G38" s="2" t="s">
        <v>214</v>
      </c>
    </row>
    <row r="39" spans="1:7">
      <c r="A39" s="2" t="s">
        <v>215</v>
      </c>
      <c r="B39" s="2" t="s">
        <v>35</v>
      </c>
      <c r="C39" s="2" t="s">
        <v>211</v>
      </c>
      <c r="D39" s="2" t="s">
        <v>207</v>
      </c>
      <c r="E39" s="2" t="s">
        <v>216</v>
      </c>
      <c r="F39" s="2" t="s">
        <v>217</v>
      </c>
      <c r="G39" s="2" t="s">
        <v>218</v>
      </c>
    </row>
    <row r="40" spans="1:7">
      <c r="A40" s="2" t="s">
        <v>219</v>
      </c>
      <c r="B40" s="2" t="s">
        <v>35</v>
      </c>
      <c r="C40" s="2" t="s">
        <v>211</v>
      </c>
      <c r="D40" s="2" t="s">
        <v>207</v>
      </c>
      <c r="E40" s="2" t="s">
        <v>220</v>
      </c>
      <c r="F40" s="2" t="s">
        <v>213</v>
      </c>
      <c r="G40" s="2" t="s">
        <v>221</v>
      </c>
    </row>
    <row r="41" spans="1:7" ht="27.6">
      <c r="A41" s="2" t="s">
        <v>222</v>
      </c>
      <c r="B41" s="2" t="s">
        <v>35</v>
      </c>
      <c r="C41" s="2" t="s">
        <v>223</v>
      </c>
      <c r="D41" s="2" t="s">
        <v>224</v>
      </c>
      <c r="E41" s="2" t="s">
        <v>225</v>
      </c>
      <c r="F41" s="2" t="s">
        <v>226</v>
      </c>
      <c r="G41" s="2" t="s">
        <v>227</v>
      </c>
    </row>
    <row r="42" spans="1:7" ht="27.6">
      <c r="A42" s="2" t="s">
        <v>228</v>
      </c>
      <c r="B42" s="2" t="s">
        <v>35</v>
      </c>
      <c r="C42" s="2" t="s">
        <v>223</v>
      </c>
      <c r="D42" s="2" t="s">
        <v>229</v>
      </c>
      <c r="E42" s="2" t="s">
        <v>230</v>
      </c>
      <c r="F42" s="2" t="s">
        <v>231</v>
      </c>
      <c r="G42" s="2" t="s">
        <v>232</v>
      </c>
    </row>
    <row r="43" spans="1:7" ht="27.6">
      <c r="A43" s="2" t="s">
        <v>233</v>
      </c>
      <c r="B43" s="2" t="s">
        <v>35</v>
      </c>
      <c r="C43" s="2" t="s">
        <v>234</v>
      </c>
      <c r="D43" s="2" t="s">
        <v>235</v>
      </c>
      <c r="E43" s="2" t="s">
        <v>236</v>
      </c>
      <c r="F43" s="2" t="s">
        <v>237</v>
      </c>
      <c r="G43" s="2" t="s">
        <v>238</v>
      </c>
    </row>
    <row r="44" spans="1:7">
      <c r="A44" s="2" t="s">
        <v>239</v>
      </c>
      <c r="B44" s="2" t="s">
        <v>35</v>
      </c>
      <c r="C44" s="2" t="s">
        <v>240</v>
      </c>
      <c r="D44" s="2" t="s">
        <v>241</v>
      </c>
      <c r="E44" s="2" t="s">
        <v>242</v>
      </c>
      <c r="F44" s="2" t="s">
        <v>243</v>
      </c>
      <c r="G44" s="2" t="s">
        <v>244</v>
      </c>
    </row>
    <row r="45" spans="1:7" ht="27.6">
      <c r="A45" s="2" t="s">
        <v>245</v>
      </c>
      <c r="B45" s="2" t="s">
        <v>246</v>
      </c>
      <c r="C45" s="2" t="s">
        <v>247</v>
      </c>
      <c r="D45" s="2" t="s">
        <v>248</v>
      </c>
      <c r="E45" s="2" t="s">
        <v>249</v>
      </c>
      <c r="F45" s="2" t="s">
        <v>250</v>
      </c>
      <c r="G45" s="2" t="s">
        <v>251</v>
      </c>
    </row>
    <row r="46" spans="1:7">
      <c r="A46" s="2" t="s">
        <v>252</v>
      </c>
      <c r="B46" s="2" t="s">
        <v>246</v>
      </c>
      <c r="C46" s="2" t="s">
        <v>253</v>
      </c>
      <c r="D46" s="2" t="s">
        <v>254</v>
      </c>
      <c r="E46" s="2" t="s">
        <v>255</v>
      </c>
      <c r="F46" s="2" t="s">
        <v>256</v>
      </c>
      <c r="G46" s="2" t="s">
        <v>257</v>
      </c>
    </row>
    <row r="47" spans="1:7" ht="27.6">
      <c r="A47" s="2" t="s">
        <v>258</v>
      </c>
      <c r="B47" s="2" t="s">
        <v>246</v>
      </c>
      <c r="C47" s="2" t="s">
        <v>259</v>
      </c>
      <c r="D47" s="2" t="s">
        <v>260</v>
      </c>
      <c r="E47" s="2" t="s">
        <v>261</v>
      </c>
      <c r="F47" s="2" t="s">
        <v>262</v>
      </c>
      <c r="G47" s="2" t="s">
        <v>263</v>
      </c>
    </row>
    <row r="48" spans="1:7" ht="27.6">
      <c r="A48" s="2" t="s">
        <v>264</v>
      </c>
      <c r="B48" s="2" t="s">
        <v>265</v>
      </c>
      <c r="C48" s="2" t="s">
        <v>266</v>
      </c>
      <c r="D48" s="2" t="s">
        <v>267</v>
      </c>
      <c r="E48" s="2" t="s">
        <v>268</v>
      </c>
      <c r="F48" s="2" t="s">
        <v>269</v>
      </c>
      <c r="G48" s="2" t="s">
        <v>270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"/>
  <sheetViews>
    <sheetView workbookViewId="0"/>
  </sheetViews>
  <sheetFormatPr defaultRowHeight="13.8"/>
  <cols>
    <col min="1" max="1" width="82.234375" customWidth="1"/>
    <col min="2" max="2" width="11.046875" customWidth="1"/>
    <col min="3" max="3" width="10.90234375" customWidth="1"/>
    <col min="4" max="4" width="17.234375" customWidth="1"/>
    <col min="5" max="5" width="18.046875" customWidth="1"/>
    <col min="6" max="6" width="18.1875" customWidth="1"/>
    <col min="7" max="7" width="19" customWidth="1"/>
    <col min="8" max="8" width="15.47265625" customWidth="1"/>
    <col min="9" max="9" width="16.28515625" customWidth="1"/>
    <col min="10" max="10" width="12.5234375" customWidth="1"/>
    <col min="11" max="11" width="16.94921875" customWidth="1"/>
    <col min="12" max="12" width="32.94921875" customWidth="1"/>
  </cols>
  <sheetData>
    <row r="1" spans="1:12" ht="20.100000000000001">
      <c r="A1" s="6" t="s">
        <v>271</v>
      </c>
      <c r="B1" s="5"/>
      <c r="C1" s="5"/>
      <c r="D1" s="8"/>
      <c r="E1" s="8"/>
      <c r="F1" s="8"/>
      <c r="G1" s="8"/>
      <c r="H1" s="8"/>
      <c r="I1" s="8"/>
      <c r="J1" s="8"/>
      <c r="K1" s="8"/>
      <c r="L1" s="5"/>
    </row>
    <row r="2" spans="1:12" ht="14.1">
      <c r="A2" s="7" t="s">
        <v>272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14.1">
      <c r="A3" s="1" t="s">
        <v>273</v>
      </c>
      <c r="B3" s="1" t="s">
        <v>274</v>
      </c>
      <c r="C3" s="1" t="s">
        <v>275</v>
      </c>
      <c r="D3" s="1" t="s">
        <v>276</v>
      </c>
      <c r="E3" s="1" t="s">
        <v>277</v>
      </c>
      <c r="F3" s="1" t="s">
        <v>278</v>
      </c>
      <c r="G3" s="1" t="s">
        <v>279</v>
      </c>
      <c r="H3" s="1" t="s">
        <v>280</v>
      </c>
      <c r="I3" s="1" t="s">
        <v>281</v>
      </c>
      <c r="J3" s="1" t="s">
        <v>282</v>
      </c>
      <c r="K3" s="1" t="s">
        <v>283</v>
      </c>
      <c r="L3" s="1" t="s">
        <v>284</v>
      </c>
    </row>
    <row r="4" spans="1:12">
      <c r="A4" s="2">
        <v>5</v>
      </c>
      <c r="B4" s="2">
        <v>30</v>
      </c>
      <c r="C4" s="2">
        <v>29</v>
      </c>
      <c r="D4" s="2">
        <v>299.58</v>
      </c>
      <c r="E4" s="2">
        <v>339.63</v>
      </c>
      <c r="F4" s="2">
        <v>-23.03</v>
      </c>
      <c r="G4" s="2">
        <v>-33.72</v>
      </c>
      <c r="H4" s="2">
        <v>0.95</v>
      </c>
      <c r="I4" s="2">
        <v>0.83</v>
      </c>
      <c r="J4" s="2">
        <v>59</v>
      </c>
      <c r="K4" s="2">
        <v>87.45</v>
      </c>
      <c r="L4" s="2" t="s">
        <v>285</v>
      </c>
    </row>
    <row r="5" spans="1:12">
      <c r="A5" s="2">
        <v>6</v>
      </c>
      <c r="B5" s="2">
        <v>21</v>
      </c>
      <c r="C5" s="2">
        <v>20</v>
      </c>
      <c r="D5" s="2">
        <v>326.88</v>
      </c>
      <c r="E5" s="2">
        <v>339.63</v>
      </c>
      <c r="F5" s="2">
        <v>-25.83</v>
      </c>
      <c r="G5" s="2">
        <v>-33.72</v>
      </c>
      <c r="H5" s="2">
        <v>0.95</v>
      </c>
      <c r="I5" s="2">
        <v>0.83</v>
      </c>
      <c r="J5" s="2">
        <v>41</v>
      </c>
      <c r="K5" s="2">
        <v>91.42</v>
      </c>
      <c r="L5" s="2" t="s">
        <v>286</v>
      </c>
    </row>
    <row r="6" spans="1:12">
      <c r="A6" s="2">
        <v>7</v>
      </c>
      <c r="B6" s="2">
        <v>14</v>
      </c>
      <c r="C6" s="2">
        <v>13</v>
      </c>
      <c r="D6" s="2">
        <v>388.19</v>
      </c>
      <c r="E6" s="2">
        <v>339.63</v>
      </c>
      <c r="F6" s="2">
        <v>-22.54</v>
      </c>
      <c r="G6" s="2">
        <v>-33.72</v>
      </c>
      <c r="H6" s="2">
        <v>1.01</v>
      </c>
      <c r="I6" s="2">
        <v>0.83</v>
      </c>
      <c r="J6" s="2">
        <v>27</v>
      </c>
      <c r="K6" s="2">
        <v>94.11</v>
      </c>
      <c r="L6" s="2" t="s">
        <v>287</v>
      </c>
    </row>
    <row r="7" spans="1:12">
      <c r="A7" s="2">
        <v>8</v>
      </c>
      <c r="B7" s="2">
        <v>11</v>
      </c>
      <c r="C7" s="2">
        <v>10</v>
      </c>
      <c r="D7" s="2">
        <v>417.99</v>
      </c>
      <c r="E7" s="2">
        <v>339.63</v>
      </c>
      <c r="F7" s="2">
        <v>-23.58</v>
      </c>
      <c r="G7" s="2">
        <v>-33.72</v>
      </c>
      <c r="H7" s="2">
        <v>1.03</v>
      </c>
      <c r="I7" s="2">
        <v>0.83</v>
      </c>
      <c r="J7" s="2">
        <v>21</v>
      </c>
      <c r="K7" s="2">
        <v>95.47</v>
      </c>
      <c r="L7" s="2" t="s">
        <v>288</v>
      </c>
    </row>
    <row r="8" spans="1:12">
      <c r="A8" s="2">
        <v>9</v>
      </c>
      <c r="B8" s="2">
        <v>9</v>
      </c>
      <c r="C8" s="2">
        <v>8</v>
      </c>
      <c r="D8" s="2">
        <v>312.72000000000003</v>
      </c>
      <c r="E8" s="2">
        <v>339.63</v>
      </c>
      <c r="F8" s="2">
        <v>-32.24</v>
      </c>
      <c r="G8" s="2">
        <v>-33.72</v>
      </c>
      <c r="H8" s="2">
        <v>0.84</v>
      </c>
      <c r="I8" s="2">
        <v>0.83</v>
      </c>
      <c r="J8" s="2">
        <v>17</v>
      </c>
      <c r="K8" s="2">
        <v>96.48</v>
      </c>
      <c r="L8" s="2" t="s">
        <v>289</v>
      </c>
    </row>
    <row r="9" spans="1:12">
      <c r="A9" s="2">
        <v>10</v>
      </c>
      <c r="B9" s="2">
        <v>6</v>
      </c>
      <c r="C9" s="2">
        <v>5</v>
      </c>
      <c r="D9" s="2">
        <v>254.26</v>
      </c>
      <c r="E9" s="2">
        <v>339.63</v>
      </c>
      <c r="F9" s="2">
        <v>-35.17</v>
      </c>
      <c r="G9" s="2">
        <v>-33.72</v>
      </c>
      <c r="H9" s="2">
        <v>0.74</v>
      </c>
      <c r="I9" s="2">
        <v>0.83</v>
      </c>
      <c r="J9" s="2">
        <v>11</v>
      </c>
      <c r="K9" s="2">
        <v>98.12</v>
      </c>
      <c r="L9" s="2" t="s">
        <v>290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"/>
  <sheetViews>
    <sheetView workbookViewId="0"/>
  </sheetViews>
  <sheetFormatPr defaultRowHeight="13.8"/>
  <cols>
    <col min="1" max="1" width="114.6640625" customWidth="1"/>
    <col min="2" max="2" width="11.046875" customWidth="1"/>
    <col min="3" max="3" width="10.90234375" customWidth="1"/>
    <col min="4" max="4" width="17.234375" customWidth="1"/>
    <col min="5" max="5" width="18.046875" customWidth="1"/>
    <col min="6" max="6" width="18.1875" customWidth="1"/>
    <col min="7" max="7" width="19" customWidth="1"/>
    <col min="8" max="8" width="15.47265625" customWidth="1"/>
    <col min="9" max="9" width="16.28515625" customWidth="1"/>
    <col min="10" max="10" width="12.5234375" customWidth="1"/>
    <col min="11" max="11" width="16.94921875" customWidth="1"/>
    <col min="12" max="12" width="30.80859375" customWidth="1"/>
  </cols>
  <sheetData>
    <row r="1" spans="1:12" ht="20.100000000000001">
      <c r="A1" s="6" t="s">
        <v>291</v>
      </c>
      <c r="B1" s="5"/>
      <c r="C1" s="5"/>
      <c r="D1" s="8"/>
      <c r="E1" s="8"/>
      <c r="F1" s="8"/>
      <c r="G1" s="8"/>
      <c r="H1" s="8"/>
      <c r="I1" s="8"/>
      <c r="J1" s="8"/>
      <c r="K1" s="8"/>
      <c r="L1" s="5"/>
    </row>
    <row r="2" spans="1:12" ht="14.1">
      <c r="A2" s="7" t="s">
        <v>292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14.1">
      <c r="A3" s="1" t="s">
        <v>293</v>
      </c>
      <c r="B3" s="1" t="s">
        <v>274</v>
      </c>
      <c r="C3" s="1" t="s">
        <v>275</v>
      </c>
      <c r="D3" s="1" t="s">
        <v>276</v>
      </c>
      <c r="E3" s="1" t="s">
        <v>277</v>
      </c>
      <c r="F3" s="1" t="s">
        <v>278</v>
      </c>
      <c r="G3" s="1" t="s">
        <v>279</v>
      </c>
      <c r="H3" s="1" t="s">
        <v>280</v>
      </c>
      <c r="I3" s="1" t="s">
        <v>281</v>
      </c>
      <c r="J3" s="1" t="s">
        <v>282</v>
      </c>
      <c r="K3" s="1" t="s">
        <v>283</v>
      </c>
      <c r="L3" s="1" t="s">
        <v>284</v>
      </c>
    </row>
    <row r="4" spans="1:12">
      <c r="A4" s="2" t="s">
        <v>294</v>
      </c>
      <c r="B4" s="2">
        <v>15</v>
      </c>
      <c r="C4" s="2">
        <v>14</v>
      </c>
      <c r="D4" s="2">
        <v>286.32</v>
      </c>
      <c r="E4" s="2">
        <v>339.63</v>
      </c>
      <c r="F4" s="2">
        <v>-32.39</v>
      </c>
      <c r="G4" s="2">
        <v>-33.72</v>
      </c>
      <c r="H4" s="2">
        <v>0.82</v>
      </c>
      <c r="I4" s="2">
        <v>0.83</v>
      </c>
      <c r="J4" s="2">
        <v>29</v>
      </c>
      <c r="K4" s="2">
        <v>94.42</v>
      </c>
      <c r="L4" s="2" t="s">
        <v>295</v>
      </c>
    </row>
    <row r="5" spans="1:12">
      <c r="A5" s="2" t="s">
        <v>296</v>
      </c>
      <c r="B5" s="2">
        <v>11</v>
      </c>
      <c r="C5" s="2">
        <v>10</v>
      </c>
      <c r="D5" s="2">
        <v>417.99</v>
      </c>
      <c r="E5" s="2">
        <v>339.63</v>
      </c>
      <c r="F5" s="2">
        <v>-23.58</v>
      </c>
      <c r="G5" s="2">
        <v>-33.72</v>
      </c>
      <c r="H5" s="2">
        <v>1.03</v>
      </c>
      <c r="I5" s="2">
        <v>0.83</v>
      </c>
      <c r="J5" s="2">
        <v>21</v>
      </c>
      <c r="K5" s="2">
        <v>95.47</v>
      </c>
      <c r="L5" s="2" t="s">
        <v>297</v>
      </c>
    </row>
    <row r="6" spans="1:12">
      <c r="A6" s="2" t="s">
        <v>298</v>
      </c>
      <c r="B6" s="2">
        <v>9</v>
      </c>
      <c r="C6" s="2">
        <v>8</v>
      </c>
      <c r="D6" s="2">
        <v>388.98</v>
      </c>
      <c r="E6" s="2">
        <v>339.63</v>
      </c>
      <c r="F6" s="2">
        <v>-25.95</v>
      </c>
      <c r="G6" s="2">
        <v>-33.72</v>
      </c>
      <c r="H6" s="2">
        <v>0.97</v>
      </c>
      <c r="I6" s="2">
        <v>0.83</v>
      </c>
      <c r="J6" s="2">
        <v>17</v>
      </c>
      <c r="K6" s="2">
        <v>96.86</v>
      </c>
      <c r="L6" s="2" t="s">
        <v>299</v>
      </c>
    </row>
    <row r="7" spans="1:12" ht="27.6">
      <c r="A7" s="2" t="s">
        <v>300</v>
      </c>
      <c r="B7" s="2">
        <v>7</v>
      </c>
      <c r="C7" s="2">
        <v>6</v>
      </c>
      <c r="D7" s="2">
        <v>432.29</v>
      </c>
      <c r="E7" s="2">
        <v>339.63</v>
      </c>
      <c r="F7" s="2">
        <v>-24.07</v>
      </c>
      <c r="G7" s="2">
        <v>-33.72</v>
      </c>
      <c r="H7" s="2">
        <v>1.03</v>
      </c>
      <c r="I7" s="2">
        <v>0.83</v>
      </c>
      <c r="J7" s="2">
        <v>13</v>
      </c>
      <c r="K7" s="2">
        <v>96.65</v>
      </c>
      <c r="L7" s="2" t="s">
        <v>301</v>
      </c>
    </row>
    <row r="8" spans="1:12">
      <c r="A8" s="2" t="s">
        <v>302</v>
      </c>
      <c r="B8" s="2">
        <v>4</v>
      </c>
      <c r="C8" s="2">
        <v>3</v>
      </c>
      <c r="D8" s="2">
        <v>425.79</v>
      </c>
      <c r="E8" s="2">
        <v>339.63</v>
      </c>
      <c r="F8" s="2">
        <v>-25.42</v>
      </c>
      <c r="G8" s="2">
        <v>-33.72</v>
      </c>
      <c r="H8" s="2">
        <v>1</v>
      </c>
      <c r="I8" s="2">
        <v>0.83</v>
      </c>
      <c r="J8" s="2">
        <v>7</v>
      </c>
      <c r="K8" s="2">
        <v>98.15</v>
      </c>
      <c r="L8" s="2" t="s">
        <v>303</v>
      </c>
    </row>
    <row r="9" spans="1:12">
      <c r="A9" s="2" t="s">
        <v>304</v>
      </c>
      <c r="B9" s="2">
        <v>3</v>
      </c>
      <c r="C9" s="2">
        <v>2</v>
      </c>
      <c r="D9" s="2">
        <v>414.64</v>
      </c>
      <c r="E9" s="2">
        <v>339.63</v>
      </c>
      <c r="F9" s="2">
        <v>-24.5</v>
      </c>
      <c r="G9" s="2">
        <v>-33.72</v>
      </c>
      <c r="H9" s="2">
        <v>0.99</v>
      </c>
      <c r="I9" s="2">
        <v>0.83</v>
      </c>
      <c r="J9" s="2">
        <v>5</v>
      </c>
      <c r="K9" s="2">
        <v>98.43</v>
      </c>
      <c r="L9" s="2" t="s">
        <v>305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3"/>
  <sheetViews>
    <sheetView tabSelected="1" workbookViewId="0">
      <selection activeCell="G20" sqref="G20"/>
    </sheetView>
  </sheetViews>
  <sheetFormatPr defaultRowHeight="13.8"/>
  <cols>
    <col min="1" max="1" width="18" customWidth="1"/>
    <col min="2" max="2" width="7.5234375" customWidth="1"/>
    <col min="3" max="3" width="8.6171875" customWidth="1"/>
    <col min="4" max="4" width="11.046875" customWidth="1"/>
    <col min="5" max="5" width="10.90234375" customWidth="1"/>
    <col min="6" max="6" width="17.234375" customWidth="1"/>
    <col min="7" max="7" width="18.046875" customWidth="1"/>
    <col min="8" max="8" width="18.1875" customWidth="1"/>
    <col min="9" max="9" width="19" customWidth="1"/>
    <col min="10" max="10" width="15.47265625" customWidth="1"/>
    <col min="11" max="11" width="16.28515625" customWidth="1"/>
    <col min="12" max="12" width="12.5234375" customWidth="1"/>
    <col min="13" max="13" width="16.94921875" customWidth="1"/>
    <col min="14" max="14" width="34" customWidth="1"/>
  </cols>
  <sheetData>
    <row r="1" spans="1:14" ht="20.100000000000001">
      <c r="A1" s="6" t="s">
        <v>306</v>
      </c>
      <c r="B1" s="5"/>
      <c r="C1" s="5"/>
      <c r="D1" s="8"/>
      <c r="E1" s="8"/>
      <c r="F1" s="8"/>
      <c r="G1" s="8"/>
      <c r="H1" s="8"/>
      <c r="I1" s="8"/>
      <c r="J1" s="8"/>
      <c r="K1" s="8"/>
      <c r="L1" s="5"/>
      <c r="M1" s="5"/>
      <c r="N1" s="5"/>
    </row>
    <row r="2" spans="1:14" ht="14.1">
      <c r="A2" s="7" t="s">
        <v>307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14.4" thickBot="1">
      <c r="A3" s="1" t="s">
        <v>308</v>
      </c>
      <c r="B3" s="1" t="s">
        <v>309</v>
      </c>
      <c r="C3" s="1" t="s">
        <v>293</v>
      </c>
      <c r="D3" s="1" t="s">
        <v>274</v>
      </c>
      <c r="E3" s="1" t="s">
        <v>275</v>
      </c>
      <c r="F3" s="1" t="s">
        <v>276</v>
      </c>
      <c r="G3" s="1" t="s">
        <v>277</v>
      </c>
      <c r="H3" s="1" t="s">
        <v>278</v>
      </c>
      <c r="I3" s="1" t="s">
        <v>279</v>
      </c>
      <c r="J3" s="1" t="s">
        <v>280</v>
      </c>
      <c r="K3" s="1" t="s">
        <v>281</v>
      </c>
      <c r="L3" s="1" t="s">
        <v>282</v>
      </c>
      <c r="M3" s="1" t="s">
        <v>283</v>
      </c>
      <c r="N3" s="1" t="s">
        <v>310</v>
      </c>
    </row>
    <row r="4" spans="1:14">
      <c r="A4" s="9" t="s">
        <v>311</v>
      </c>
      <c r="B4" s="10" t="s">
        <v>312</v>
      </c>
      <c r="C4" s="10" t="s">
        <v>300</v>
      </c>
      <c r="D4" s="10">
        <v>7</v>
      </c>
      <c r="E4" s="10">
        <v>6</v>
      </c>
      <c r="F4" s="10">
        <v>432.29</v>
      </c>
      <c r="G4" s="10">
        <v>339.63</v>
      </c>
      <c r="H4" s="10">
        <v>-24.07</v>
      </c>
      <c r="I4" s="10">
        <v>-33.72</v>
      </c>
      <c r="J4" s="10">
        <v>1.03</v>
      </c>
      <c r="K4" s="10">
        <v>0.83</v>
      </c>
      <c r="L4" s="10">
        <v>13</v>
      </c>
      <c r="M4" s="10">
        <v>96.65</v>
      </c>
      <c r="N4" s="11" t="s">
        <v>313</v>
      </c>
    </row>
    <row r="5" spans="1:14">
      <c r="A5" s="12" t="s">
        <v>311</v>
      </c>
      <c r="B5" s="3" t="s">
        <v>314</v>
      </c>
      <c r="C5" s="3" t="s">
        <v>300</v>
      </c>
      <c r="D5" s="3">
        <v>14</v>
      </c>
      <c r="E5" s="3">
        <v>13</v>
      </c>
      <c r="F5" s="3">
        <v>626.54999999999995</v>
      </c>
      <c r="G5" s="3">
        <v>676.99</v>
      </c>
      <c r="H5" s="3">
        <v>-29.26</v>
      </c>
      <c r="I5" s="3">
        <v>-35.119999999999997</v>
      </c>
      <c r="J5" s="3">
        <v>1.01</v>
      </c>
      <c r="K5" s="3">
        <v>0.93</v>
      </c>
      <c r="L5" s="3">
        <v>27</v>
      </c>
      <c r="M5" s="3">
        <v>93.2</v>
      </c>
      <c r="N5" s="13" t="s">
        <v>315</v>
      </c>
    </row>
    <row r="6" spans="1:14">
      <c r="A6" s="12" t="s">
        <v>311</v>
      </c>
      <c r="B6" s="3" t="s">
        <v>316</v>
      </c>
      <c r="C6" s="3" t="s">
        <v>300</v>
      </c>
      <c r="D6" s="3">
        <v>9</v>
      </c>
      <c r="E6" s="3">
        <v>8</v>
      </c>
      <c r="F6" s="3">
        <v>621.95000000000005</v>
      </c>
      <c r="G6" s="3">
        <v>456.73</v>
      </c>
      <c r="H6" s="3">
        <v>-24.72</v>
      </c>
      <c r="I6" s="3">
        <v>-32.68</v>
      </c>
      <c r="J6" s="3">
        <v>1.08</v>
      </c>
      <c r="K6" s="3">
        <v>0.85</v>
      </c>
      <c r="L6" s="3">
        <v>17</v>
      </c>
      <c r="M6" s="3">
        <v>94.74</v>
      </c>
      <c r="N6" s="13" t="s">
        <v>317</v>
      </c>
    </row>
    <row r="7" spans="1:14">
      <c r="A7" s="12" t="s">
        <v>311</v>
      </c>
      <c r="B7" s="3" t="s">
        <v>318</v>
      </c>
      <c r="C7" s="3" t="s">
        <v>300</v>
      </c>
      <c r="D7" s="3">
        <v>21</v>
      </c>
      <c r="E7" s="3">
        <v>20</v>
      </c>
      <c r="F7" s="3">
        <v>688.79</v>
      </c>
      <c r="G7" s="3">
        <v>1019.95</v>
      </c>
      <c r="H7" s="3">
        <v>-40.42</v>
      </c>
      <c r="I7" s="3">
        <v>-37.15</v>
      </c>
      <c r="J7" s="3">
        <v>0.88</v>
      </c>
      <c r="K7" s="3">
        <v>0.92</v>
      </c>
      <c r="L7" s="3">
        <v>41</v>
      </c>
      <c r="M7" s="3">
        <v>90.2</v>
      </c>
      <c r="N7" s="13" t="s">
        <v>319</v>
      </c>
    </row>
    <row r="8" spans="1:14" ht="14.1" thickBot="1">
      <c r="A8" s="14" t="s">
        <v>311</v>
      </c>
      <c r="B8" s="15" t="s">
        <v>320</v>
      </c>
      <c r="C8" s="15" t="s">
        <v>300</v>
      </c>
      <c r="D8" s="15">
        <v>41</v>
      </c>
      <c r="E8" s="15">
        <v>40</v>
      </c>
      <c r="F8" s="15">
        <v>9324.86</v>
      </c>
      <c r="G8" s="15">
        <v>43601.97</v>
      </c>
      <c r="H8" s="15">
        <v>-57.01</v>
      </c>
      <c r="I8" s="15">
        <v>-66.34</v>
      </c>
      <c r="J8" s="15">
        <v>1.1499999999999999</v>
      </c>
      <c r="K8" s="15">
        <v>1.35</v>
      </c>
      <c r="L8" s="15">
        <v>81</v>
      </c>
      <c r="M8" s="15">
        <v>84.1</v>
      </c>
      <c r="N8" s="16" t="s">
        <v>321</v>
      </c>
    </row>
    <row r="9" spans="1:14">
      <c r="A9" s="9" t="s">
        <v>322</v>
      </c>
      <c r="B9" s="10" t="s">
        <v>312</v>
      </c>
      <c r="C9" s="10" t="s">
        <v>302</v>
      </c>
      <c r="D9" s="10">
        <v>4</v>
      </c>
      <c r="E9" s="10">
        <v>3</v>
      </c>
      <c r="F9" s="10">
        <v>425.79</v>
      </c>
      <c r="G9" s="10">
        <v>339.63</v>
      </c>
      <c r="H9" s="10">
        <v>-25.42</v>
      </c>
      <c r="I9" s="10">
        <v>-33.72</v>
      </c>
      <c r="J9" s="10">
        <v>1</v>
      </c>
      <c r="K9" s="10">
        <v>0.83</v>
      </c>
      <c r="L9" s="10">
        <v>7</v>
      </c>
      <c r="M9" s="10">
        <v>98.15</v>
      </c>
      <c r="N9" s="11" t="s">
        <v>323</v>
      </c>
    </row>
    <row r="10" spans="1:14">
      <c r="A10" s="12" t="s">
        <v>322</v>
      </c>
      <c r="B10" s="3" t="s">
        <v>314</v>
      </c>
      <c r="C10" s="3" t="s">
        <v>302</v>
      </c>
      <c r="D10" s="3">
        <v>12</v>
      </c>
      <c r="E10" s="3">
        <v>11</v>
      </c>
      <c r="F10" s="3">
        <v>719.7</v>
      </c>
      <c r="G10" s="3">
        <v>676.99</v>
      </c>
      <c r="H10" s="3">
        <v>-30.86</v>
      </c>
      <c r="I10" s="3">
        <v>-35.119999999999997</v>
      </c>
      <c r="J10" s="3">
        <v>1.06</v>
      </c>
      <c r="K10" s="3">
        <v>0.93</v>
      </c>
      <c r="L10" s="3">
        <v>23</v>
      </c>
      <c r="M10" s="3">
        <v>93.86</v>
      </c>
      <c r="N10" s="13" t="s">
        <v>313</v>
      </c>
    </row>
    <row r="11" spans="1:14">
      <c r="A11" s="12" t="s">
        <v>322</v>
      </c>
      <c r="B11" s="3" t="s">
        <v>316</v>
      </c>
      <c r="C11" s="3" t="s">
        <v>302</v>
      </c>
      <c r="D11" s="3">
        <v>9</v>
      </c>
      <c r="E11" s="3">
        <v>8</v>
      </c>
      <c r="F11" s="3">
        <v>549.47</v>
      </c>
      <c r="G11" s="3">
        <v>456.73</v>
      </c>
      <c r="H11" s="3">
        <v>-29.95</v>
      </c>
      <c r="I11" s="3">
        <v>-32.68</v>
      </c>
      <c r="J11" s="3">
        <v>1.03</v>
      </c>
      <c r="K11" s="3">
        <v>0.85</v>
      </c>
      <c r="L11" s="3">
        <v>17</v>
      </c>
      <c r="M11" s="3">
        <v>94.91</v>
      </c>
      <c r="N11" s="13" t="s">
        <v>313</v>
      </c>
    </row>
    <row r="12" spans="1:14">
      <c r="A12" s="12" t="s">
        <v>322</v>
      </c>
      <c r="B12" s="3" t="s">
        <v>318</v>
      </c>
      <c r="C12" s="3" t="s">
        <v>302</v>
      </c>
      <c r="D12" s="3">
        <v>15</v>
      </c>
      <c r="E12" s="3">
        <v>14</v>
      </c>
      <c r="F12" s="3">
        <v>1004.29</v>
      </c>
      <c r="G12" s="3">
        <v>1019.95</v>
      </c>
      <c r="H12" s="3">
        <v>-34.22</v>
      </c>
      <c r="I12" s="3">
        <v>-37.15</v>
      </c>
      <c r="J12" s="3">
        <v>0.99</v>
      </c>
      <c r="K12" s="3">
        <v>0.92</v>
      </c>
      <c r="L12" s="3">
        <v>29</v>
      </c>
      <c r="M12" s="3">
        <v>93.24</v>
      </c>
      <c r="N12" s="13" t="s">
        <v>324</v>
      </c>
    </row>
    <row r="13" spans="1:14" ht="14.1" thickBot="1">
      <c r="A13" s="14" t="s">
        <v>322</v>
      </c>
      <c r="B13" s="15" t="s">
        <v>320</v>
      </c>
      <c r="C13" s="15" t="s">
        <v>302</v>
      </c>
      <c r="D13" s="15">
        <v>37</v>
      </c>
      <c r="E13" s="15">
        <v>36</v>
      </c>
      <c r="F13" s="15">
        <v>7745.36</v>
      </c>
      <c r="G13" s="15">
        <v>43601.97</v>
      </c>
      <c r="H13" s="15">
        <v>-61.39</v>
      </c>
      <c r="I13" s="15">
        <v>-66.34</v>
      </c>
      <c r="J13" s="15">
        <v>1.1100000000000001</v>
      </c>
      <c r="K13" s="15">
        <v>1.35</v>
      </c>
      <c r="L13" s="15">
        <v>73</v>
      </c>
      <c r="M13" s="15">
        <v>84.9</v>
      </c>
      <c r="N13" s="16" t="s">
        <v>321</v>
      </c>
    </row>
  </sheetData>
  <mergeCells count="2">
    <mergeCell ref="A1:N1"/>
    <mergeCell ref="A2:N2"/>
  </mergeCells>
  <conditionalFormatting sqref="F2:F20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J2:J20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1"/>
  <sheetViews>
    <sheetView workbookViewId="0"/>
  </sheetViews>
  <sheetFormatPr defaultRowHeight="13.8"/>
  <cols>
    <col min="1" max="1" width="18" customWidth="1"/>
    <col min="2" max="2" width="8.6171875" customWidth="1"/>
    <col min="3" max="3" width="17.234375" customWidth="1"/>
    <col min="4" max="4" width="18.046875" customWidth="1"/>
    <col min="5" max="5" width="18.1875" customWidth="1"/>
    <col min="6" max="6" width="19" customWidth="1"/>
    <col min="7" max="7" width="15.47265625" customWidth="1"/>
    <col min="8" max="8" width="16.28515625" customWidth="1"/>
    <col min="9" max="9" width="12.5234375" customWidth="1"/>
    <col min="10" max="10" width="16.94921875" customWidth="1"/>
    <col min="11" max="11" width="13.85546875" customWidth="1"/>
    <col min="12" max="12" width="37.5234375" customWidth="1"/>
    <col min="14" max="14" width="34" customWidth="1"/>
  </cols>
  <sheetData>
    <row r="1" spans="1:12" ht="20.100000000000001">
      <c r="A1" s="6" t="s">
        <v>325</v>
      </c>
      <c r="B1" s="5"/>
      <c r="C1" s="5"/>
      <c r="D1" s="8"/>
      <c r="E1" s="8"/>
      <c r="F1" s="8"/>
      <c r="G1" s="8"/>
      <c r="H1" s="8"/>
      <c r="I1" s="8"/>
      <c r="J1" s="8"/>
      <c r="K1" s="8"/>
      <c r="L1" s="5"/>
    </row>
    <row r="2" spans="1:12" ht="14.1">
      <c r="A2" s="7" t="s">
        <v>326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14.1">
      <c r="A3" s="1" t="s">
        <v>327</v>
      </c>
      <c r="B3" s="1" t="s">
        <v>293</v>
      </c>
      <c r="C3" s="1" t="s">
        <v>276</v>
      </c>
      <c r="D3" s="1" t="s">
        <v>277</v>
      </c>
      <c r="E3" s="1" t="s">
        <v>278</v>
      </c>
      <c r="F3" s="1" t="s">
        <v>279</v>
      </c>
      <c r="G3" s="1" t="s">
        <v>280</v>
      </c>
      <c r="H3" s="1" t="s">
        <v>281</v>
      </c>
      <c r="I3" s="1" t="s">
        <v>282</v>
      </c>
      <c r="J3" s="1" t="s">
        <v>283</v>
      </c>
      <c r="K3" s="1" t="s">
        <v>328</v>
      </c>
      <c r="L3" s="1" t="s">
        <v>329</v>
      </c>
    </row>
    <row r="4" spans="1:12">
      <c r="A4" s="2" t="s">
        <v>312</v>
      </c>
      <c r="B4" s="2" t="s">
        <v>300</v>
      </c>
      <c r="C4" s="2">
        <v>432.29</v>
      </c>
      <c r="D4" s="2">
        <v>339.63</v>
      </c>
      <c r="E4" s="2">
        <v>-24.07</v>
      </c>
      <c r="F4" s="2">
        <v>-33.72</v>
      </c>
      <c r="G4" s="2">
        <v>1.03</v>
      </c>
      <c r="H4" s="2">
        <v>0.83</v>
      </c>
      <c r="I4" s="2">
        <v>13</v>
      </c>
      <c r="J4" s="2">
        <v>96.65</v>
      </c>
      <c r="K4" s="2" t="s">
        <v>330</v>
      </c>
      <c r="L4" s="2" t="s">
        <v>331</v>
      </c>
    </row>
    <row r="5" spans="1:12">
      <c r="A5" s="2" t="s">
        <v>312</v>
      </c>
      <c r="B5" s="2" t="s">
        <v>302</v>
      </c>
      <c r="C5" s="2">
        <v>425.79</v>
      </c>
      <c r="D5" s="2">
        <v>339.63</v>
      </c>
      <c r="E5" s="2">
        <v>-25.42</v>
      </c>
      <c r="F5" s="2">
        <v>-33.72</v>
      </c>
      <c r="G5" s="2">
        <v>1</v>
      </c>
      <c r="H5" s="2">
        <v>0.83</v>
      </c>
      <c r="I5" s="2">
        <v>7</v>
      </c>
      <c r="J5" s="2">
        <v>98.15</v>
      </c>
      <c r="K5" s="2" t="s">
        <v>332</v>
      </c>
      <c r="L5" s="2" t="s">
        <v>333</v>
      </c>
    </row>
    <row r="6" spans="1:12">
      <c r="A6" s="2" t="s">
        <v>314</v>
      </c>
      <c r="B6" s="2" t="s">
        <v>300</v>
      </c>
      <c r="C6" s="2">
        <v>626.54999999999995</v>
      </c>
      <c r="D6" s="2">
        <v>676.99</v>
      </c>
      <c r="E6" s="2">
        <v>-29.26</v>
      </c>
      <c r="F6" s="2">
        <v>-35.119999999999997</v>
      </c>
      <c r="G6" s="2">
        <v>1.01</v>
      </c>
      <c r="H6" s="2">
        <v>0.93</v>
      </c>
      <c r="I6" s="2">
        <v>27</v>
      </c>
      <c r="J6" s="2">
        <v>93.2</v>
      </c>
      <c r="K6" s="2" t="s">
        <v>332</v>
      </c>
      <c r="L6" s="2" t="s">
        <v>334</v>
      </c>
    </row>
    <row r="7" spans="1:12">
      <c r="A7" s="2" t="s">
        <v>314</v>
      </c>
      <c r="B7" s="2" t="s">
        <v>302</v>
      </c>
      <c r="C7" s="2">
        <v>719.7</v>
      </c>
      <c r="D7" s="2">
        <v>676.99</v>
      </c>
      <c r="E7" s="2">
        <v>-30.86</v>
      </c>
      <c r="F7" s="2">
        <v>-35.119999999999997</v>
      </c>
      <c r="G7" s="2">
        <v>1.06</v>
      </c>
      <c r="H7" s="2">
        <v>0.93</v>
      </c>
      <c r="I7" s="2">
        <v>23</v>
      </c>
      <c r="J7" s="2">
        <v>93.86</v>
      </c>
      <c r="K7" s="2" t="s">
        <v>335</v>
      </c>
      <c r="L7" s="2" t="s">
        <v>336</v>
      </c>
    </row>
    <row r="8" spans="1:12">
      <c r="A8" s="2" t="s">
        <v>316</v>
      </c>
      <c r="B8" s="2" t="s">
        <v>300</v>
      </c>
      <c r="C8" s="2">
        <v>621.95000000000005</v>
      </c>
      <c r="D8" s="2">
        <v>456.73</v>
      </c>
      <c r="E8" s="2">
        <v>-24.72</v>
      </c>
      <c r="F8" s="2">
        <v>-32.68</v>
      </c>
      <c r="G8" s="2">
        <v>1.08</v>
      </c>
      <c r="H8" s="2">
        <v>0.85</v>
      </c>
      <c r="I8" s="2">
        <v>17</v>
      </c>
      <c r="J8" s="2">
        <v>94.74</v>
      </c>
      <c r="K8" s="2" t="s">
        <v>330</v>
      </c>
      <c r="L8" s="2" t="s">
        <v>337</v>
      </c>
    </row>
    <row r="9" spans="1:12">
      <c r="A9" s="2" t="s">
        <v>316</v>
      </c>
      <c r="B9" s="2" t="s">
        <v>302</v>
      </c>
      <c r="C9" s="2">
        <v>549.47</v>
      </c>
      <c r="D9" s="2">
        <v>456.73</v>
      </c>
      <c r="E9" s="2">
        <v>-29.95</v>
      </c>
      <c r="F9" s="2">
        <v>-32.68</v>
      </c>
      <c r="G9" s="2">
        <v>1.03</v>
      </c>
      <c r="H9" s="2">
        <v>0.85</v>
      </c>
      <c r="I9" s="2">
        <v>17</v>
      </c>
      <c r="J9" s="2">
        <v>94.91</v>
      </c>
      <c r="K9" s="2" t="s">
        <v>332</v>
      </c>
      <c r="L9" s="2" t="s">
        <v>338</v>
      </c>
    </row>
    <row r="10" spans="1:12" ht="27.6">
      <c r="A10" s="2" t="s">
        <v>339</v>
      </c>
      <c r="B10" s="2" t="s">
        <v>300</v>
      </c>
      <c r="C10" s="2">
        <v>560.26</v>
      </c>
      <c r="D10" s="2"/>
      <c r="E10" s="2">
        <v>-26.02</v>
      </c>
      <c r="F10" s="2"/>
      <c r="G10" s="2">
        <v>1.04</v>
      </c>
      <c r="H10" s="2"/>
      <c r="I10" s="2">
        <v>19</v>
      </c>
      <c r="J10" s="2">
        <v>94.86</v>
      </c>
      <c r="K10" s="2" t="s">
        <v>340</v>
      </c>
      <c r="L10" s="2" t="s">
        <v>341</v>
      </c>
    </row>
    <row r="11" spans="1:12">
      <c r="A11" s="2" t="s">
        <v>339</v>
      </c>
      <c r="B11" s="2" t="s">
        <v>302</v>
      </c>
      <c r="C11" s="2">
        <v>564.99</v>
      </c>
      <c r="D11" s="2"/>
      <c r="E11" s="2">
        <v>-28.74</v>
      </c>
      <c r="F11" s="2"/>
      <c r="G11" s="2">
        <v>1.03</v>
      </c>
      <c r="H11" s="2"/>
      <c r="I11" s="2">
        <v>15.67</v>
      </c>
      <c r="J11" s="2">
        <v>95.64</v>
      </c>
      <c r="K11" s="2" t="s">
        <v>342</v>
      </c>
      <c r="L11" s="2" t="s">
        <v>343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7"/>
  <sheetViews>
    <sheetView workbookViewId="0"/>
  </sheetViews>
  <sheetFormatPr defaultRowHeight="13.8"/>
  <cols>
    <col min="1" max="1" width="49.94921875" customWidth="1"/>
    <col min="2" max="2" width="33.5234375" customWidth="1"/>
    <col min="3" max="3" width="47.6171875" customWidth="1"/>
  </cols>
  <sheetData>
    <row r="1" spans="1:3" ht="20.100000000000001">
      <c r="A1" s="6" t="s">
        <v>344</v>
      </c>
      <c r="B1" s="5"/>
      <c r="C1" s="5"/>
    </row>
    <row r="2" spans="1:3" ht="14.1">
      <c r="A2" s="7" t="s">
        <v>345</v>
      </c>
      <c r="B2" s="7"/>
      <c r="C2" s="7"/>
    </row>
    <row r="3" spans="1:3" ht="14.1">
      <c r="A3" s="1" t="s">
        <v>346</v>
      </c>
      <c r="B3" s="1" t="s">
        <v>347</v>
      </c>
      <c r="C3" s="1" t="s">
        <v>348</v>
      </c>
    </row>
    <row r="4" spans="1:3">
      <c r="A4" s="2" t="s">
        <v>349</v>
      </c>
      <c r="B4" s="2" t="s">
        <v>350</v>
      </c>
      <c r="C4" s="2" t="s">
        <v>351</v>
      </c>
    </row>
    <row r="5" spans="1:3">
      <c r="A5" s="2" t="s">
        <v>352</v>
      </c>
      <c r="B5" s="2" t="s">
        <v>353</v>
      </c>
      <c r="C5" s="2" t="s">
        <v>354</v>
      </c>
    </row>
    <row r="6" spans="1:3">
      <c r="A6" s="2" t="s">
        <v>355</v>
      </c>
      <c r="B6" s="2" t="s">
        <v>356</v>
      </c>
      <c r="C6" s="2" t="s">
        <v>357</v>
      </c>
    </row>
    <row r="7" spans="1:3">
      <c r="A7" s="2" t="s">
        <v>358</v>
      </c>
      <c r="B7" s="2" t="s">
        <v>359</v>
      </c>
      <c r="C7" s="2" t="s">
        <v>360</v>
      </c>
    </row>
    <row r="8" spans="1:3">
      <c r="A8" s="2" t="s">
        <v>361</v>
      </c>
      <c r="B8" s="2" t="s">
        <v>300</v>
      </c>
      <c r="C8" s="2" t="s">
        <v>362</v>
      </c>
    </row>
    <row r="9" spans="1:3">
      <c r="A9" s="2" t="s">
        <v>363</v>
      </c>
      <c r="B9" s="2" t="s">
        <v>140</v>
      </c>
      <c r="C9" s="2" t="s">
        <v>364</v>
      </c>
    </row>
    <row r="10" spans="1:3">
      <c r="A10" s="2" t="s">
        <v>365</v>
      </c>
      <c r="B10" s="2" t="s">
        <v>366</v>
      </c>
      <c r="C10" s="2" t="s">
        <v>123</v>
      </c>
    </row>
    <row r="11" spans="1:3">
      <c r="A11" s="2" t="s">
        <v>367</v>
      </c>
      <c r="B11" s="2" t="s">
        <v>368</v>
      </c>
      <c r="C11" s="2" t="s">
        <v>369</v>
      </c>
    </row>
    <row r="12" spans="1:3">
      <c r="A12" s="2" t="s">
        <v>370</v>
      </c>
      <c r="B12" s="2" t="s">
        <v>371</v>
      </c>
      <c r="C12" s="2" t="s">
        <v>372</v>
      </c>
    </row>
    <row r="13" spans="1:3">
      <c r="A13" s="2" t="s">
        <v>373</v>
      </c>
      <c r="B13" s="2" t="s">
        <v>374</v>
      </c>
      <c r="C13" s="2" t="s">
        <v>375</v>
      </c>
    </row>
    <row r="14" spans="1:3">
      <c r="A14" s="2" t="s">
        <v>376</v>
      </c>
      <c r="B14" s="2" t="s">
        <v>377</v>
      </c>
      <c r="C14" s="2" t="s">
        <v>378</v>
      </c>
    </row>
    <row r="15" spans="1:3">
      <c r="A15" s="2" t="s">
        <v>379</v>
      </c>
      <c r="B15" s="2" t="s">
        <v>380</v>
      </c>
      <c r="C15" s="2" t="s">
        <v>381</v>
      </c>
    </row>
    <row r="16" spans="1:3">
      <c r="A16" s="2" t="s">
        <v>382</v>
      </c>
      <c r="B16" s="2" t="s">
        <v>383</v>
      </c>
      <c r="C16" s="2" t="s">
        <v>384</v>
      </c>
    </row>
    <row r="17" spans="1:3">
      <c r="A17" s="2" t="s">
        <v>385</v>
      </c>
      <c r="B17" s="2" t="s">
        <v>265</v>
      </c>
      <c r="C17" s="2" t="s">
        <v>386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Change Log</vt:lpstr>
      <vt:lpstr>Signal Sweeps</vt:lpstr>
      <vt:lpstr>Measurement Sweeps</vt:lpstr>
      <vt:lpstr>Cross Asset Tests</vt:lpstr>
      <vt:lpstr>ETF r Comparison</vt:lpstr>
      <vt:lpstr>Function Refactor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Howard, Calvin M</cp:lastModifiedBy>
  <dcterms:created xsi:type="dcterms:W3CDTF">2026-05-30T07:03:06Z</dcterms:created>
  <dcterms:modified xsi:type="dcterms:W3CDTF">2026-05-30T07:03:06Z</dcterms:modified>
</cp:coreProperties>
</file>